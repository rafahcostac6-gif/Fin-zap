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Estoque\Downloads\"/>
    </mc:Choice>
  </mc:AlternateContent>
  <xr:revisionPtr revIDLastSave="0" documentId="13_ncr:1_{10FFB68D-758C-4CB5-9563-E5675A0B0611}" xr6:coauthVersionLast="36" xr6:coauthVersionMax="36" xr10:uidLastSave="{00000000-0000-0000-0000-000000000000}"/>
  <bookViews>
    <workbookView xWindow="0" yWindow="0" windowWidth="24000" windowHeight="9225" firstSheet="1" activeTab="5" xr2:uid="{00000000-000D-0000-FFFF-FFFF00000000}"/>
  </bookViews>
  <sheets>
    <sheet name="📊 Painel Anual" sheetId="1" r:id="rId1"/>
    <sheet name="📈 Investimentos" sheetId="2" r:id="rId2"/>
    <sheet name="jun-26" sheetId="3" r:id="rId3"/>
    <sheet name="Jul-26" sheetId="4" r:id="rId4"/>
    <sheet name="ago-26" sheetId="5" r:id="rId5"/>
    <sheet name="set-26" sheetId="6" r:id="rId6"/>
    <sheet name="Out-26" sheetId="7" r:id="rId7"/>
    <sheet name="Nov-26" sheetId="8" r:id="rId8"/>
    <sheet name="dez -26" sheetId="9" r:id="rId9"/>
    <sheet name="Jan-27" sheetId="10" r:id="rId10"/>
    <sheet name="Fev-27" sheetId="11" r:id="rId11"/>
    <sheet name="Mar-27" sheetId="12" r:id="rId12"/>
    <sheet name="Abr-27" sheetId="13" r:id="rId13"/>
    <sheet name="Mai-27" sheetId="14" r:id="rId14"/>
    <sheet name="Jun-27" sheetId="15" r:id="rId15"/>
    <sheet name="Jul-27" sheetId="16" r:id="rId16"/>
    <sheet name="Ago-27" sheetId="17" r:id="rId17"/>
    <sheet name="Set-27" sheetId="18" r:id="rId18"/>
    <sheet name="Out-27" sheetId="19" r:id="rId19"/>
    <sheet name="Nov-27" sheetId="20" r:id="rId20"/>
    <sheet name="Dez-27" sheetId="21" r:id="rId21"/>
    <sheet name="Jan-28" sheetId="22" r:id="rId22"/>
    <sheet name="Fev-28" sheetId="23" r:id="rId23"/>
    <sheet name="Mar-28" sheetId="24" r:id="rId24"/>
    <sheet name="Abr-28" sheetId="25" r:id="rId25"/>
    <sheet name="Mai-28" sheetId="26" r:id="rId26"/>
    <sheet name="Jun-28" sheetId="27" r:id="rId27"/>
    <sheet name="Jul-28" sheetId="28" r:id="rId28"/>
    <sheet name="Ago-28" sheetId="29" r:id="rId29"/>
    <sheet name="Set-28" sheetId="30" r:id="rId30"/>
    <sheet name="Out-28" sheetId="31" r:id="rId31"/>
    <sheet name="Nov-28" sheetId="32" r:id="rId32"/>
    <sheet name="Dez-28" sheetId="33" r:id="rId33"/>
    <sheet name="Jan-29" sheetId="34" r:id="rId34"/>
    <sheet name="Fev-29" sheetId="35" r:id="rId35"/>
    <sheet name="Mar-29" sheetId="36" r:id="rId36"/>
    <sheet name="Abr-29" sheetId="37" r:id="rId37"/>
    <sheet name="Mai-29" sheetId="38" r:id="rId38"/>
    <sheet name="Jun-29" sheetId="39" r:id="rId39"/>
    <sheet name="Jul-29" sheetId="40" r:id="rId40"/>
    <sheet name="Ago-29" sheetId="41" r:id="rId41"/>
    <sheet name="Set-29" sheetId="42" r:id="rId42"/>
    <sheet name="💳 Empréstimo" sheetId="43" r:id="rId43"/>
    <sheet name="📊 Cruzamento J x R" sheetId="44" r:id="rId44"/>
    <sheet name="✂️ Redução Custos" sheetId="45" r:id="rId45"/>
    <sheet name="💡 Análise" sheetId="46" r:id="rId46"/>
    <sheet name="Planilha2" sheetId="47" r:id="rId47"/>
  </sheets>
  <calcPr calcId="179021"/>
</workbook>
</file>

<file path=xl/calcChain.xml><?xml version="1.0" encoding="utf-8"?>
<calcChain xmlns="http://schemas.openxmlformats.org/spreadsheetml/2006/main">
  <c r="K19" i="6" l="1"/>
  <c r="K12" i="6"/>
  <c r="E22" i="6" l="1"/>
  <c r="C10" i="45" l="1"/>
  <c r="B10" i="45"/>
  <c r="D9" i="45"/>
  <c r="D8" i="45"/>
  <c r="D7" i="45"/>
  <c r="D6" i="45"/>
  <c r="D5" i="45"/>
  <c r="D4" i="45"/>
  <c r="D3" i="45"/>
  <c r="D10" i="45" s="1"/>
  <c r="F9" i="44"/>
  <c r="D10" i="44" s="1"/>
  <c r="D9" i="44"/>
  <c r="B9" i="44"/>
  <c r="B10" i="44" s="1"/>
  <c r="B11" i="44" s="1"/>
  <c r="B12" i="44" s="1"/>
  <c r="B13" i="44" s="1"/>
  <c r="B14" i="44" s="1"/>
  <c r="B15" i="44" s="1"/>
  <c r="B16" i="44" s="1"/>
  <c r="B17" i="44" s="1"/>
  <c r="B18" i="44" s="1"/>
  <c r="B19" i="44" s="1"/>
  <c r="B20" i="44" s="1"/>
  <c r="B21" i="44" s="1"/>
  <c r="B22" i="44" s="1"/>
  <c r="B23" i="44" s="1"/>
  <c r="B24" i="44" s="1"/>
  <c r="B25" i="44" s="1"/>
  <c r="B26" i="44" s="1"/>
  <c r="B27" i="44" s="1"/>
  <c r="B28" i="44" s="1"/>
  <c r="B29" i="44" s="1"/>
  <c r="B30" i="44" s="1"/>
  <c r="B31" i="44" s="1"/>
  <c r="B32" i="44" s="1"/>
  <c r="B33" i="44" s="1"/>
  <c r="B34" i="44" s="1"/>
  <c r="B35" i="44" s="1"/>
  <c r="B36" i="44" s="1"/>
  <c r="B37" i="44" s="1"/>
  <c r="B38" i="44" s="1"/>
  <c r="B39" i="44" s="1"/>
  <c r="B40" i="44" s="1"/>
  <c r="B41" i="44" s="1"/>
  <c r="B42" i="44" s="1"/>
  <c r="B43" i="44" s="1"/>
  <c r="B44" i="44" s="1"/>
  <c r="F46" i="43"/>
  <c r="F45" i="43"/>
  <c r="F44" i="43"/>
  <c r="F43" i="43"/>
  <c r="F42" i="43"/>
  <c r="F41" i="43"/>
  <c r="F40" i="43"/>
  <c r="F39" i="43"/>
  <c r="F38" i="43"/>
  <c r="F37" i="43"/>
  <c r="F36" i="43"/>
  <c r="F35" i="43"/>
  <c r="F34" i="43"/>
  <c r="F33" i="43"/>
  <c r="F32" i="43"/>
  <c r="F31" i="43"/>
  <c r="F30" i="43"/>
  <c r="F29" i="43"/>
  <c r="F28" i="43"/>
  <c r="F27" i="43"/>
  <c r="F26" i="43"/>
  <c r="F25" i="43"/>
  <c r="F24" i="43"/>
  <c r="F23" i="43"/>
  <c r="F22" i="43"/>
  <c r="F21" i="43"/>
  <c r="F20" i="43"/>
  <c r="F19" i="43"/>
  <c r="F18" i="43"/>
  <c r="F17" i="43"/>
  <c r="F16" i="43"/>
  <c r="F15" i="43"/>
  <c r="F14" i="43"/>
  <c r="F13" i="43"/>
  <c r="F12" i="43"/>
  <c r="E12" i="43"/>
  <c r="D12" i="43"/>
  <c r="C12" i="43"/>
  <c r="G12" i="43" s="1"/>
  <c r="C13" i="43" s="1"/>
  <c r="B12" i="43"/>
  <c r="B13" i="43" s="1"/>
  <c r="B14" i="43" s="1"/>
  <c r="B15" i="43" s="1"/>
  <c r="B16" i="43" s="1"/>
  <c r="B17" i="43" s="1"/>
  <c r="B18" i="43" s="1"/>
  <c r="B19" i="43" s="1"/>
  <c r="B20" i="43" s="1"/>
  <c r="B21" i="43" s="1"/>
  <c r="B22" i="43" s="1"/>
  <c r="B23" i="43" s="1"/>
  <c r="B24" i="43" s="1"/>
  <c r="B25" i="43" s="1"/>
  <c r="B26" i="43" s="1"/>
  <c r="B27" i="43" s="1"/>
  <c r="B28" i="43" s="1"/>
  <c r="B29" i="43" s="1"/>
  <c r="B30" i="43" s="1"/>
  <c r="B31" i="43" s="1"/>
  <c r="B32" i="43" s="1"/>
  <c r="B33" i="43" s="1"/>
  <c r="B34" i="43" s="1"/>
  <c r="B35" i="43" s="1"/>
  <c r="B36" i="43" s="1"/>
  <c r="B37" i="43" s="1"/>
  <c r="B38" i="43" s="1"/>
  <c r="B39" i="43" s="1"/>
  <c r="B40" i="43" s="1"/>
  <c r="B41" i="43" s="1"/>
  <c r="B42" i="43" s="1"/>
  <c r="B43" i="43" s="1"/>
  <c r="B44" i="43" s="1"/>
  <c r="B45" i="43" s="1"/>
  <c r="B46" i="43" s="1"/>
  <c r="B47" i="43" s="1"/>
  <c r="E29" i="42"/>
  <c r="A3" i="42"/>
  <c r="E29" i="41"/>
  <c r="E14" i="41"/>
  <c r="E17" i="41" s="1"/>
  <c r="E19" i="41" s="1"/>
  <c r="A3" i="41"/>
  <c r="E29" i="40"/>
  <c r="E14" i="40"/>
  <c r="E17" i="40" s="1"/>
  <c r="E19" i="40" s="1"/>
  <c r="A3" i="40"/>
  <c r="E29" i="39"/>
  <c r="E14" i="39"/>
  <c r="E17" i="39" s="1"/>
  <c r="E19" i="39" s="1"/>
  <c r="E34" i="38"/>
  <c r="E29" i="38"/>
  <c r="E19" i="38"/>
  <c r="C3" i="38" s="1"/>
  <c r="E17" i="38"/>
  <c r="E14" i="38"/>
  <c r="E3" i="38"/>
  <c r="E29" i="37"/>
  <c r="E17" i="37"/>
  <c r="E19" i="37" s="1"/>
  <c r="E14" i="37"/>
  <c r="A3" i="37"/>
  <c r="E29" i="36"/>
  <c r="E14" i="36"/>
  <c r="E17" i="36" s="1"/>
  <c r="E19" i="36" s="1"/>
  <c r="A3" i="36"/>
  <c r="E32" i="35"/>
  <c r="E29" i="35"/>
  <c r="E14" i="35"/>
  <c r="E17" i="35" s="1"/>
  <c r="E19" i="35" s="1"/>
  <c r="A3" i="35"/>
  <c r="E34" i="34"/>
  <c r="E29" i="34"/>
  <c r="E19" i="34"/>
  <c r="C3" i="34" s="1"/>
  <c r="E17" i="34"/>
  <c r="E14" i="34"/>
  <c r="E3" i="34"/>
  <c r="E34" i="33"/>
  <c r="E33" i="33"/>
  <c r="E29" i="33"/>
  <c r="E17" i="33"/>
  <c r="E19" i="33" s="1"/>
  <c r="E14" i="33"/>
  <c r="A3" i="33"/>
  <c r="E33" i="32"/>
  <c r="E29" i="32"/>
  <c r="E14" i="32"/>
  <c r="E17" i="32" s="1"/>
  <c r="E19" i="32" s="1"/>
  <c r="A3" i="32"/>
  <c r="E29" i="31"/>
  <c r="E14" i="31"/>
  <c r="E17" i="31" s="1"/>
  <c r="E19" i="31" s="1"/>
  <c r="A3" i="31"/>
  <c r="E29" i="30"/>
  <c r="E14" i="30"/>
  <c r="E17" i="30" s="1"/>
  <c r="E19" i="30" s="1"/>
  <c r="G3" i="30"/>
  <c r="E29" i="29"/>
  <c r="E17" i="29"/>
  <c r="E19" i="29" s="1"/>
  <c r="E14" i="29"/>
  <c r="A3" i="29"/>
  <c r="E33" i="28"/>
  <c r="E32" i="28"/>
  <c r="E29" i="28"/>
  <c r="E14" i="28"/>
  <c r="E17" i="28" s="1"/>
  <c r="E19" i="28" s="1"/>
  <c r="C3" i="28"/>
  <c r="A3" i="28"/>
  <c r="E29" i="27"/>
  <c r="E14" i="27"/>
  <c r="E17" i="27" s="1"/>
  <c r="E19" i="27" s="1"/>
  <c r="E34" i="26"/>
  <c r="E29" i="26"/>
  <c r="E14" i="26"/>
  <c r="E17" i="26" s="1"/>
  <c r="E19" i="26" s="1"/>
  <c r="C3" i="26" s="1"/>
  <c r="E29" i="25"/>
  <c r="E32" i="25" s="1"/>
  <c r="E19" i="25"/>
  <c r="E17" i="25"/>
  <c r="E14" i="25"/>
  <c r="E3" i="25"/>
  <c r="C3" i="25"/>
  <c r="A3" i="25"/>
  <c r="E32" i="24"/>
  <c r="E29" i="24"/>
  <c r="E14" i="24"/>
  <c r="E17" i="24" s="1"/>
  <c r="E19" i="24" s="1"/>
  <c r="C3" i="24"/>
  <c r="A3" i="24"/>
  <c r="E29" i="23"/>
  <c r="E14" i="23"/>
  <c r="E17" i="23" s="1"/>
  <c r="E19" i="23" s="1"/>
  <c r="G3" i="23"/>
  <c r="E29" i="22"/>
  <c r="E19" i="22"/>
  <c r="E14" i="22"/>
  <c r="E17" i="22" s="1"/>
  <c r="E29" i="21"/>
  <c r="E17" i="21"/>
  <c r="E19" i="21" s="1"/>
  <c r="E14" i="21"/>
  <c r="A3" i="21"/>
  <c r="E29" i="20"/>
  <c r="E17" i="20"/>
  <c r="E19" i="20" s="1"/>
  <c r="E14" i="20"/>
  <c r="A3" i="20"/>
  <c r="E29" i="19"/>
  <c r="E14" i="19"/>
  <c r="E17" i="19" s="1"/>
  <c r="E19" i="19" s="1"/>
  <c r="A3" i="19"/>
  <c r="E29" i="18"/>
  <c r="E14" i="18"/>
  <c r="E17" i="18" s="1"/>
  <c r="E19" i="18" s="1"/>
  <c r="E3" i="18"/>
  <c r="E29" i="17"/>
  <c r="E19" i="17"/>
  <c r="E17" i="17"/>
  <c r="E14" i="17"/>
  <c r="C3" i="17"/>
  <c r="E29" i="16"/>
  <c r="E17" i="16"/>
  <c r="E19" i="16" s="1"/>
  <c r="E14" i="16"/>
  <c r="A3" i="16"/>
  <c r="E32" i="15"/>
  <c r="E29" i="15"/>
  <c r="E14" i="15"/>
  <c r="E17" i="15" s="1"/>
  <c r="E19" i="15" s="1"/>
  <c r="G3" i="15"/>
  <c r="A3" i="15"/>
  <c r="E29" i="14"/>
  <c r="E14" i="14"/>
  <c r="E17" i="14" s="1"/>
  <c r="E19" i="14" s="1"/>
  <c r="E29" i="13"/>
  <c r="E17" i="13"/>
  <c r="E19" i="13" s="1"/>
  <c r="L5" i="1" s="1"/>
  <c r="E14" i="13"/>
  <c r="E27" i="12"/>
  <c r="A3" i="12" s="1"/>
  <c r="E15" i="12"/>
  <c r="E17" i="12" s="1"/>
  <c r="C3" i="12" s="1"/>
  <c r="E29" i="11"/>
  <c r="J7" i="1" s="1"/>
  <c r="E17" i="11"/>
  <c r="E19" i="11" s="1"/>
  <c r="E28" i="10"/>
  <c r="E16" i="10"/>
  <c r="E18" i="10" s="1"/>
  <c r="I8" i="1" s="1"/>
  <c r="E33" i="9"/>
  <c r="E23" i="9"/>
  <c r="H5" i="1" s="1"/>
  <c r="E21" i="9"/>
  <c r="E33" i="8"/>
  <c r="E21" i="8"/>
  <c r="E23" i="8" s="1"/>
  <c r="G4" i="1" s="1"/>
  <c r="A3" i="8"/>
  <c r="E33" i="7"/>
  <c r="E21" i="7"/>
  <c r="E23" i="7" s="1"/>
  <c r="G3" i="7" s="1"/>
  <c r="A3" i="7"/>
  <c r="E34" i="6"/>
  <c r="E24" i="6"/>
  <c r="E36" i="5"/>
  <c r="E33" i="5"/>
  <c r="L22" i="5"/>
  <c r="E22" i="5"/>
  <c r="E23" i="5" s="1"/>
  <c r="I21" i="5"/>
  <c r="I13" i="5"/>
  <c r="E3" i="5"/>
  <c r="A3" i="5"/>
  <c r="E30" i="4"/>
  <c r="E20" i="4"/>
  <c r="E18" i="4"/>
  <c r="A3" i="4"/>
  <c r="E32" i="3"/>
  <c r="E29" i="3"/>
  <c r="E17" i="3"/>
  <c r="E19" i="3" s="1"/>
  <c r="G3" i="3"/>
  <c r="E3" i="3"/>
  <c r="J73" i="2"/>
  <c r="C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D13" i="2"/>
  <c r="E13" i="2" s="1"/>
  <c r="I12" i="2"/>
  <c r="H12" i="2"/>
  <c r="G12" i="2"/>
  <c r="F12" i="2"/>
  <c r="I11" i="2"/>
  <c r="H11" i="2"/>
  <c r="E11" i="2"/>
  <c r="D11" i="2"/>
  <c r="I10" i="2"/>
  <c r="H10" i="2"/>
  <c r="G10" i="2"/>
  <c r="F10" i="2"/>
  <c r="D10" i="2"/>
  <c r="E10" i="2" s="1"/>
  <c r="N9" i="1"/>
  <c r="C9" i="1"/>
  <c r="B9" i="1"/>
  <c r="N8" i="1"/>
  <c r="M8" i="1"/>
  <c r="D8" i="1"/>
  <c r="B8" i="1"/>
  <c r="N7" i="1"/>
  <c r="M7" i="1"/>
  <c r="L7" i="1"/>
  <c r="K7" i="1"/>
  <c r="H7" i="1"/>
  <c r="G7" i="1"/>
  <c r="F7" i="1"/>
  <c r="D7" i="1"/>
  <c r="C7" i="1"/>
  <c r="B7" i="1"/>
  <c r="N5" i="1"/>
  <c r="D5" i="1"/>
  <c r="B5" i="1"/>
  <c r="N4" i="1"/>
  <c r="B4" i="1"/>
  <c r="N3" i="1"/>
  <c r="M3" i="1"/>
  <c r="L3" i="1"/>
  <c r="K3" i="1"/>
  <c r="H3" i="1"/>
  <c r="G3" i="1"/>
  <c r="F3" i="1"/>
  <c r="E3" i="1"/>
  <c r="D3" i="1"/>
  <c r="C3" i="1"/>
  <c r="B3" i="1"/>
  <c r="F8" i="1" l="1"/>
  <c r="F9" i="1"/>
  <c r="J9" i="1"/>
  <c r="K4" i="1"/>
  <c r="J4" i="1"/>
  <c r="G9" i="1"/>
  <c r="E39" i="6"/>
  <c r="E8" i="1"/>
  <c r="E5" i="1"/>
  <c r="E36" i="7"/>
  <c r="F4" i="1"/>
  <c r="F5" i="1"/>
  <c r="G13" i="2"/>
  <c r="D14" i="2"/>
  <c r="E14" i="2" s="1"/>
  <c r="F13" i="2"/>
  <c r="E32" i="10"/>
  <c r="E31" i="10"/>
  <c r="A3" i="10"/>
  <c r="I9" i="1"/>
  <c r="I7" i="1"/>
  <c r="I3" i="1"/>
  <c r="G3" i="10"/>
  <c r="C3" i="14"/>
  <c r="E34" i="14"/>
  <c r="M4" i="1"/>
  <c r="E3" i="14"/>
  <c r="E3" i="10"/>
  <c r="G3" i="17"/>
  <c r="E34" i="17"/>
  <c r="E33" i="17"/>
  <c r="E3" i="17"/>
  <c r="E33" i="18"/>
  <c r="E32" i="18"/>
  <c r="A3" i="18"/>
  <c r="G3" i="18"/>
  <c r="E33" i="26"/>
  <c r="E32" i="26"/>
  <c r="A3" i="26"/>
  <c r="G3" i="26"/>
  <c r="E3" i="26"/>
  <c r="G11" i="2"/>
  <c r="D12" i="2"/>
  <c r="F11" i="2"/>
  <c r="G3" i="9"/>
  <c r="E38" i="9"/>
  <c r="H9" i="1"/>
  <c r="E37" i="9"/>
  <c r="H4" i="1"/>
  <c r="E3" i="9"/>
  <c r="E34" i="19"/>
  <c r="E3" i="19"/>
  <c r="C3" i="19"/>
  <c r="G3" i="19"/>
  <c r="E32" i="19"/>
  <c r="C3" i="22"/>
  <c r="E34" i="22"/>
  <c r="E32" i="39"/>
  <c r="E3" i="39"/>
  <c r="E33" i="39"/>
  <c r="G3" i="39"/>
  <c r="A3" i="39"/>
  <c r="I5" i="1"/>
  <c r="H8" i="1"/>
  <c r="C3" i="9"/>
  <c r="E34" i="11"/>
  <c r="C3" i="11"/>
  <c r="J8" i="1"/>
  <c r="G3" i="12"/>
  <c r="E32" i="12"/>
  <c r="E3" i="12"/>
  <c r="K8" i="1"/>
  <c r="K5" i="1"/>
  <c r="E31" i="12"/>
  <c r="G3" i="13"/>
  <c r="E3" i="13"/>
  <c r="C3" i="13"/>
  <c r="L9" i="1"/>
  <c r="L4" i="1"/>
  <c r="E34" i="13"/>
  <c r="G3" i="16"/>
  <c r="E34" i="16"/>
  <c r="E3" i="16"/>
  <c r="E33" i="16"/>
  <c r="E32" i="16"/>
  <c r="C3" i="16"/>
  <c r="C3" i="18"/>
  <c r="E34" i="18"/>
  <c r="G3" i="21"/>
  <c r="E33" i="21"/>
  <c r="E3" i="21"/>
  <c r="E34" i="21"/>
  <c r="M5" i="1"/>
  <c r="L8" i="1"/>
  <c r="K9" i="1"/>
  <c r="E3" i="4"/>
  <c r="E35" i="4"/>
  <c r="C8" i="1"/>
  <c r="C5" i="1"/>
  <c r="E34" i="4"/>
  <c r="C3" i="4"/>
  <c r="C4" i="1"/>
  <c r="G3" i="8"/>
  <c r="E38" i="8"/>
  <c r="E3" i="8"/>
  <c r="E37" i="8"/>
  <c r="G8" i="1"/>
  <c r="G5" i="1"/>
  <c r="E36" i="8"/>
  <c r="C3" i="8"/>
  <c r="C3" i="10"/>
  <c r="I4" i="1"/>
  <c r="E33" i="10"/>
  <c r="E30" i="12"/>
  <c r="E33" i="13"/>
  <c r="C3" i="21"/>
  <c r="G3" i="32"/>
  <c r="E34" i="32"/>
  <c r="E3" i="32"/>
  <c r="E32" i="32"/>
  <c r="C3" i="32"/>
  <c r="G3" i="36"/>
  <c r="E34" i="36"/>
  <c r="E32" i="36"/>
  <c r="C3" i="36"/>
  <c r="E33" i="36"/>
  <c r="E32" i="37"/>
  <c r="G3" i="37"/>
  <c r="E3" i="37"/>
  <c r="C3" i="37"/>
  <c r="E34" i="37"/>
  <c r="E33" i="37"/>
  <c r="E33" i="4"/>
  <c r="C3" i="5"/>
  <c r="E38" i="5"/>
  <c r="E37" i="5"/>
  <c r="E36" i="9"/>
  <c r="E3" i="11"/>
  <c r="E33" i="11"/>
  <c r="E32" i="17"/>
  <c r="G3" i="20"/>
  <c r="E34" i="20"/>
  <c r="E33" i="20"/>
  <c r="E32" i="20"/>
  <c r="C3" i="20"/>
  <c r="E33" i="22"/>
  <c r="E32" i="22"/>
  <c r="A3" i="22"/>
  <c r="G3" i="22"/>
  <c r="G3" i="29"/>
  <c r="C3" i="29"/>
  <c r="E34" i="29"/>
  <c r="C3" i="30"/>
  <c r="E3" i="30"/>
  <c r="E34" i="41"/>
  <c r="C3" i="41"/>
  <c r="G3" i="41"/>
  <c r="D9" i="1"/>
  <c r="E34" i="3"/>
  <c r="C3" i="3"/>
  <c r="G3" i="5"/>
  <c r="C3" i="6"/>
  <c r="E38" i="6"/>
  <c r="A3" i="6"/>
  <c r="E37" i="6"/>
  <c r="I3" i="6"/>
  <c r="E38" i="7"/>
  <c r="C3" i="7"/>
  <c r="A3" i="11"/>
  <c r="E32" i="11"/>
  <c r="E33" i="14"/>
  <c r="E32" i="14"/>
  <c r="A3" i="14"/>
  <c r="E34" i="15"/>
  <c r="C3" i="15"/>
  <c r="E3" i="20"/>
  <c r="E3" i="22"/>
  <c r="E34" i="27"/>
  <c r="C3" i="27"/>
  <c r="G3" i="28"/>
  <c r="E34" i="28"/>
  <c r="E3" i="28"/>
  <c r="E32" i="29"/>
  <c r="E3" i="31"/>
  <c r="E33" i="31"/>
  <c r="G3" i="31"/>
  <c r="J5" i="1"/>
  <c r="J3" i="1"/>
  <c r="E4" i="1"/>
  <c r="E7" i="1"/>
  <c r="O7" i="1" s="1"/>
  <c r="E9" i="1"/>
  <c r="M9" i="1"/>
  <c r="E33" i="3"/>
  <c r="A3" i="3"/>
  <c r="E3" i="6"/>
  <c r="E3" i="7"/>
  <c r="E37" i="7"/>
  <c r="G3" i="11"/>
  <c r="E32" i="13"/>
  <c r="G3" i="14"/>
  <c r="E3" i="15"/>
  <c r="E33" i="15"/>
  <c r="E34" i="23"/>
  <c r="C3" i="23"/>
  <c r="G3" i="24"/>
  <c r="E34" i="24"/>
  <c r="E3" i="24"/>
  <c r="E33" i="24"/>
  <c r="G3" i="25"/>
  <c r="E34" i="25"/>
  <c r="E33" i="25"/>
  <c r="E3" i="27"/>
  <c r="E33" i="27"/>
  <c r="G3" i="27"/>
  <c r="E32" i="27"/>
  <c r="A3" i="27"/>
  <c r="E3" i="29"/>
  <c r="E33" i="29"/>
  <c r="E34" i="30"/>
  <c r="E32" i="31"/>
  <c r="G3" i="33"/>
  <c r="E3" i="33"/>
  <c r="C3" i="33"/>
  <c r="E3" i="35"/>
  <c r="E33" i="35"/>
  <c r="G3" i="35"/>
  <c r="E32" i="21"/>
  <c r="E3" i="23"/>
  <c r="E33" i="23"/>
  <c r="E3" i="36"/>
  <c r="C3" i="40"/>
  <c r="G3" i="40"/>
  <c r="E34" i="40"/>
  <c r="E3" i="41"/>
  <c r="D13" i="43"/>
  <c r="E13" i="43" s="1"/>
  <c r="G13" i="43" s="1"/>
  <c r="C14" i="43" s="1"/>
  <c r="G3" i="4"/>
  <c r="A3" i="9"/>
  <c r="A3" i="13"/>
  <c r="A3" i="17"/>
  <c r="E33" i="19"/>
  <c r="A3" i="23"/>
  <c r="E32" i="23"/>
  <c r="E33" i="30"/>
  <c r="E32" i="30"/>
  <c r="A3" i="30"/>
  <c r="E34" i="31"/>
  <c r="C3" i="31"/>
  <c r="E32" i="33"/>
  <c r="G3" i="34"/>
  <c r="E33" i="34"/>
  <c r="E32" i="34"/>
  <c r="A3" i="34"/>
  <c r="E34" i="35"/>
  <c r="C3" i="35"/>
  <c r="G3" i="38"/>
  <c r="E33" i="38"/>
  <c r="E32" i="38"/>
  <c r="A3" i="38"/>
  <c r="E34" i="39"/>
  <c r="C3" i="39"/>
  <c r="E33" i="40"/>
  <c r="E3" i="40"/>
  <c r="E32" i="41"/>
  <c r="E32" i="40"/>
  <c r="E33" i="41"/>
  <c r="F10" i="44"/>
  <c r="O3" i="1" l="1"/>
  <c r="O5" i="1"/>
  <c r="O4" i="1"/>
  <c r="O8" i="1"/>
  <c r="D14" i="43"/>
  <c r="G14" i="2"/>
  <c r="D15" i="2"/>
  <c r="E15" i="2" s="1"/>
  <c r="F14" i="2"/>
  <c r="O9" i="1"/>
  <c r="F11" i="44"/>
  <c r="D11" i="44"/>
  <c r="D12" i="44" l="1"/>
  <c r="G15" i="2"/>
  <c r="F15" i="2"/>
  <c r="D16" i="2"/>
  <c r="E16" i="2" s="1"/>
  <c r="E14" i="43"/>
  <c r="G16" i="2" l="1"/>
  <c r="F16" i="2"/>
  <c r="D17" i="2"/>
  <c r="E17" i="2" s="1"/>
  <c r="G14" i="43"/>
  <c r="C15" i="43" s="1"/>
  <c r="F12" i="44"/>
  <c r="G17" i="2" l="1"/>
  <c r="D18" i="2"/>
  <c r="E18" i="2" s="1"/>
  <c r="F17" i="2"/>
  <c r="D13" i="44"/>
  <c r="F13" i="44"/>
  <c r="D15" i="43"/>
  <c r="G18" i="2" l="1"/>
  <c r="F18" i="2"/>
  <c r="D19" i="2"/>
  <c r="E19" i="2" s="1"/>
  <c r="E15" i="43"/>
  <c r="D14" i="44"/>
  <c r="F14" i="44"/>
  <c r="G19" i="2" l="1"/>
  <c r="D20" i="2"/>
  <c r="E20" i="2" s="1"/>
  <c r="F19" i="2"/>
  <c r="D15" i="44"/>
  <c r="F15" i="44" s="1"/>
  <c r="G15" i="43"/>
  <c r="C16" i="43" s="1"/>
  <c r="D16" i="44" l="1"/>
  <c r="G20" i="2"/>
  <c r="F20" i="2"/>
  <c r="D21" i="2"/>
  <c r="E21" i="2" s="1"/>
  <c r="D16" i="43"/>
  <c r="E16" i="43" l="1"/>
  <c r="G16" i="43" s="1"/>
  <c r="C17" i="43" s="1"/>
  <c r="G21" i="2"/>
  <c r="D22" i="2"/>
  <c r="E22" i="2" s="1"/>
  <c r="F21" i="2"/>
  <c r="F16" i="44"/>
  <c r="D17" i="44" l="1"/>
  <c r="F17" i="44"/>
  <c r="E23" i="2"/>
  <c r="G22" i="2"/>
  <c r="F22" i="2"/>
  <c r="D23" i="2"/>
  <c r="D17" i="43"/>
  <c r="E17" i="43" s="1"/>
  <c r="G17" i="43"/>
  <c r="C18" i="43" s="1"/>
  <c r="D18" i="44" l="1"/>
  <c r="F18" i="44"/>
  <c r="D18" i="43"/>
  <c r="E18" i="43" s="1"/>
  <c r="G18" i="43"/>
  <c r="C19" i="43" s="1"/>
  <c r="G23" i="2"/>
  <c r="F23" i="2"/>
  <c r="D24" i="2"/>
  <c r="E24" i="2" s="1"/>
  <c r="G24" i="2" l="1"/>
  <c r="F24" i="2"/>
  <c r="D25" i="2"/>
  <c r="E25" i="2" s="1"/>
  <c r="D19" i="44"/>
  <c r="D19" i="43"/>
  <c r="E19" i="43" s="1"/>
  <c r="G19" i="43"/>
  <c r="C20" i="43" s="1"/>
  <c r="G25" i="2" l="1"/>
  <c r="D26" i="2"/>
  <c r="E26" i="2" s="1"/>
  <c r="F25" i="2"/>
  <c r="D20" i="43"/>
  <c r="E20" i="43" s="1"/>
  <c r="G20" i="43" s="1"/>
  <c r="C21" i="43" s="1"/>
  <c r="F19" i="44"/>
  <c r="D21" i="43" l="1"/>
  <c r="E21" i="43" s="1"/>
  <c r="G21" i="43"/>
  <c r="C22" i="43" s="1"/>
  <c r="E27" i="2"/>
  <c r="G26" i="2"/>
  <c r="F26" i="2"/>
  <c r="D27" i="2"/>
  <c r="D20" i="44"/>
  <c r="G27" i="2" l="1"/>
  <c r="F27" i="2"/>
  <c r="D28" i="2"/>
  <c r="E28" i="2" s="1"/>
  <c r="F20" i="44"/>
  <c r="D22" i="43"/>
  <c r="E22" i="43" s="1"/>
  <c r="G22" i="43" s="1"/>
  <c r="C23" i="43" s="1"/>
  <c r="D23" i="43" l="1"/>
  <c r="E23" i="43" s="1"/>
  <c r="G23" i="43" s="1"/>
  <c r="C24" i="43" s="1"/>
  <c r="D21" i="44"/>
  <c r="F21" i="44"/>
  <c r="G28" i="2"/>
  <c r="F28" i="2"/>
  <c r="D29" i="2"/>
  <c r="E29" i="2" s="1"/>
  <c r="G29" i="2" l="1"/>
  <c r="F29" i="2"/>
  <c r="D30" i="2"/>
  <c r="E30" i="2" s="1"/>
  <c r="D24" i="43"/>
  <c r="E24" i="43" s="1"/>
  <c r="G24" i="43" s="1"/>
  <c r="C25" i="43" s="1"/>
  <c r="D22" i="44"/>
  <c r="F22" i="44"/>
  <c r="D25" i="43" l="1"/>
  <c r="E25" i="43" s="1"/>
  <c r="G25" i="43"/>
  <c r="C26" i="43" s="1"/>
  <c r="E31" i="2"/>
  <c r="G30" i="2"/>
  <c r="D31" i="2"/>
  <c r="F30" i="2"/>
  <c r="D23" i="44"/>
  <c r="D26" i="43" l="1"/>
  <c r="E26" i="43" s="1"/>
  <c r="G26" i="43" s="1"/>
  <c r="C27" i="43" s="1"/>
  <c r="F23" i="44"/>
  <c r="G31" i="2"/>
  <c r="D32" i="2"/>
  <c r="E32" i="2" s="1"/>
  <c r="F31" i="2"/>
  <c r="G32" i="2" l="1"/>
  <c r="D33" i="2"/>
  <c r="E33" i="2" s="1"/>
  <c r="F32" i="2"/>
  <c r="D27" i="43"/>
  <c r="E27" i="43" s="1"/>
  <c r="G27" i="43"/>
  <c r="C28" i="43" s="1"/>
  <c r="D24" i="44"/>
  <c r="F24" i="44" s="1"/>
  <c r="D25" i="44" l="1"/>
  <c r="F25" i="44"/>
  <c r="E34" i="2"/>
  <c r="G33" i="2"/>
  <c r="F33" i="2"/>
  <c r="D34" i="2"/>
  <c r="G28" i="43"/>
  <c r="C29" i="43" s="1"/>
  <c r="D28" i="43"/>
  <c r="E28" i="43" s="1"/>
  <c r="D29" i="43" l="1"/>
  <c r="E29" i="43" s="1"/>
  <c r="G29" i="43" s="1"/>
  <c r="C30" i="43" s="1"/>
  <c r="G34" i="2"/>
  <c r="F34" i="2"/>
  <c r="D35" i="2"/>
  <c r="E35" i="2" s="1"/>
  <c r="D26" i="44"/>
  <c r="F26" i="44"/>
  <c r="G35" i="2" l="1"/>
  <c r="D36" i="2"/>
  <c r="E36" i="2" s="1"/>
  <c r="F35" i="2"/>
  <c r="D30" i="43"/>
  <c r="E30" i="43" s="1"/>
  <c r="G30" i="43" s="1"/>
  <c r="C31" i="43" s="1"/>
  <c r="D27" i="44"/>
  <c r="D31" i="43" l="1"/>
  <c r="E31" i="43" s="1"/>
  <c r="G31" i="43" s="1"/>
  <c r="C32" i="43" s="1"/>
  <c r="G36" i="2"/>
  <c r="F36" i="2"/>
  <c r="D37" i="2"/>
  <c r="E37" i="2" s="1"/>
  <c r="F27" i="44"/>
  <c r="G37" i="2" l="1"/>
  <c r="F37" i="2"/>
  <c r="D38" i="2"/>
  <c r="E38" i="2" s="1"/>
  <c r="D32" i="43"/>
  <c r="E32" i="43" s="1"/>
  <c r="G32" i="43" s="1"/>
  <c r="C33" i="43" s="1"/>
  <c r="D28" i="44"/>
  <c r="D33" i="43" l="1"/>
  <c r="E33" i="43" s="1"/>
  <c r="G33" i="43"/>
  <c r="C34" i="43" s="1"/>
  <c r="E39" i="2"/>
  <c r="G38" i="2"/>
  <c r="F38" i="2"/>
  <c r="D39" i="2"/>
  <c r="F28" i="44"/>
  <c r="D34" i="43" l="1"/>
  <c r="E34" i="43" s="1"/>
  <c r="G34" i="43" s="1"/>
  <c r="C35" i="43" s="1"/>
  <c r="D29" i="44"/>
  <c r="F29" i="44"/>
  <c r="G39" i="2"/>
  <c r="D40" i="2"/>
  <c r="E40" i="2" s="1"/>
  <c r="F39" i="2"/>
  <c r="G40" i="2" l="1"/>
  <c r="D41" i="2"/>
  <c r="E41" i="2" s="1"/>
  <c r="F40" i="2"/>
  <c r="D35" i="43"/>
  <c r="E35" i="43" s="1"/>
  <c r="G35" i="43"/>
  <c r="C36" i="43" s="1"/>
  <c r="D30" i="44"/>
  <c r="F30" i="44"/>
  <c r="G41" i="2" l="1"/>
  <c r="F41" i="2"/>
  <c r="D42" i="2"/>
  <c r="E42" i="2" s="1"/>
  <c r="D31" i="44"/>
  <c r="G36" i="43"/>
  <c r="C37" i="43" s="1"/>
  <c r="D36" i="43"/>
  <c r="E36" i="43" s="1"/>
  <c r="G42" i="2" l="1"/>
  <c r="D43" i="2"/>
  <c r="E43" i="2" s="1"/>
  <c r="F42" i="2"/>
  <c r="D37" i="43"/>
  <c r="E37" i="43" s="1"/>
  <c r="G37" i="43"/>
  <c r="C38" i="43" s="1"/>
  <c r="F31" i="44"/>
  <c r="G43" i="2" l="1"/>
  <c r="D44" i="2"/>
  <c r="E44" i="2" s="1"/>
  <c r="F43" i="2"/>
  <c r="D32" i="44"/>
  <c r="D38" i="43"/>
  <c r="E38" i="43" s="1"/>
  <c r="G38" i="43" s="1"/>
  <c r="C39" i="43" s="1"/>
  <c r="G44" i="2" l="1"/>
  <c r="D45" i="2"/>
  <c r="E45" i="2" s="1"/>
  <c r="F44" i="2"/>
  <c r="D39" i="43"/>
  <c r="E39" i="43" s="1"/>
  <c r="G39" i="43"/>
  <c r="C40" i="43" s="1"/>
  <c r="F32" i="44"/>
  <c r="G45" i="2" l="1"/>
  <c r="F45" i="2"/>
  <c r="D46" i="2"/>
  <c r="E46" i="2" s="1"/>
  <c r="D33" i="44"/>
  <c r="F33" i="44"/>
  <c r="D40" i="43"/>
  <c r="E40" i="43" s="1"/>
  <c r="G40" i="43" s="1"/>
  <c r="C41" i="43" s="1"/>
  <c r="G46" i="2" l="1"/>
  <c r="D47" i="2"/>
  <c r="E47" i="2" s="1"/>
  <c r="F46" i="2"/>
  <c r="D41" i="43"/>
  <c r="E41" i="43" s="1"/>
  <c r="G41" i="43"/>
  <c r="C42" i="43" s="1"/>
  <c r="D34" i="44"/>
  <c r="F34" i="44"/>
  <c r="G47" i="2" l="1"/>
  <c r="D48" i="2"/>
  <c r="E48" i="2" s="1"/>
  <c r="F47" i="2"/>
  <c r="D35" i="44"/>
  <c r="D42" i="43"/>
  <c r="E42" i="43" s="1"/>
  <c r="G42" i="43" s="1"/>
  <c r="C43" i="43" s="1"/>
  <c r="G48" i="2" l="1"/>
  <c r="F48" i="2"/>
  <c r="D49" i="2"/>
  <c r="E49" i="2" s="1"/>
  <c r="D43" i="43"/>
  <c r="E43" i="43" s="1"/>
  <c r="G43" i="43"/>
  <c r="C44" i="43" s="1"/>
  <c r="F35" i="44"/>
  <c r="G49" i="2" l="1"/>
  <c r="D50" i="2"/>
  <c r="E50" i="2" s="1"/>
  <c r="F49" i="2"/>
  <c r="D44" i="43"/>
  <c r="E44" i="43" s="1"/>
  <c r="G44" i="43"/>
  <c r="C45" i="43" s="1"/>
  <c r="D36" i="44"/>
  <c r="G50" i="2" l="1"/>
  <c r="F50" i="2"/>
  <c r="D51" i="2"/>
  <c r="E51" i="2" s="1"/>
  <c r="F36" i="44"/>
  <c r="D45" i="43"/>
  <c r="E45" i="43" s="1"/>
  <c r="G45" i="43" s="1"/>
  <c r="C46" i="43" s="1"/>
  <c r="G51" i="2" l="1"/>
  <c r="D52" i="2"/>
  <c r="E52" i="2" s="1"/>
  <c r="F51" i="2"/>
  <c r="D46" i="43"/>
  <c r="E46" i="43" s="1"/>
  <c r="G46" i="43"/>
  <c r="C47" i="43" s="1"/>
  <c r="D37" i="44"/>
  <c r="F37" i="44"/>
  <c r="G52" i="2" l="1"/>
  <c r="F52" i="2"/>
  <c r="D53" i="2"/>
  <c r="E53" i="2" s="1"/>
  <c r="E47" i="43"/>
  <c r="D47" i="43"/>
  <c r="D48" i="43" s="1"/>
  <c r="D38" i="44"/>
  <c r="F38" i="44" s="1"/>
  <c r="G53" i="2" l="1"/>
  <c r="D54" i="2"/>
  <c r="E54" i="2" s="1"/>
  <c r="F53" i="2"/>
  <c r="D39" i="44"/>
  <c r="D50" i="43"/>
  <c r="B4" i="43"/>
  <c r="B10" i="43" s="1"/>
  <c r="F47" i="43"/>
  <c r="E48" i="43"/>
  <c r="G47" i="43"/>
  <c r="G54" i="2" l="1"/>
  <c r="F54" i="2"/>
  <c r="D55" i="2"/>
  <c r="E55" i="2" s="1"/>
  <c r="C43" i="44"/>
  <c r="C39" i="44"/>
  <c r="E39" i="44" s="1"/>
  <c r="C35" i="44"/>
  <c r="E35" i="44" s="1"/>
  <c r="C31" i="44"/>
  <c r="E31" i="44" s="1"/>
  <c r="C27" i="44"/>
  <c r="E27" i="44" s="1"/>
  <c r="C23" i="44"/>
  <c r="E23" i="44" s="1"/>
  <c r="C19" i="44"/>
  <c r="E19" i="44" s="1"/>
  <c r="C15" i="44"/>
  <c r="E15" i="44" s="1"/>
  <c r="C11" i="44"/>
  <c r="E11" i="44" s="1"/>
  <c r="C42" i="44"/>
  <c r="C38" i="44"/>
  <c r="E38" i="44" s="1"/>
  <c r="C34" i="44"/>
  <c r="E34" i="44" s="1"/>
  <c r="C30" i="44"/>
  <c r="E30" i="44" s="1"/>
  <c r="C26" i="44"/>
  <c r="E26" i="44" s="1"/>
  <c r="C22" i="44"/>
  <c r="E22" i="44" s="1"/>
  <c r="C18" i="44"/>
  <c r="E18" i="44" s="1"/>
  <c r="C14" i="44"/>
  <c r="E14" i="44" s="1"/>
  <c r="C10" i="44"/>
  <c r="E10" i="44" s="1"/>
  <c r="C41" i="44"/>
  <c r="C37" i="44"/>
  <c r="E37" i="44" s="1"/>
  <c r="C33" i="44"/>
  <c r="E33" i="44" s="1"/>
  <c r="C29" i="44"/>
  <c r="E29" i="44" s="1"/>
  <c r="C25" i="44"/>
  <c r="E25" i="44" s="1"/>
  <c r="C21" i="44"/>
  <c r="E21" i="44" s="1"/>
  <c r="C17" i="44"/>
  <c r="E17" i="44" s="1"/>
  <c r="C13" i="44"/>
  <c r="E13" i="44" s="1"/>
  <c r="C9" i="44"/>
  <c r="C44" i="44"/>
  <c r="C40" i="44"/>
  <c r="C36" i="44"/>
  <c r="E36" i="44" s="1"/>
  <c r="C32" i="44"/>
  <c r="E32" i="44" s="1"/>
  <c r="C28" i="44"/>
  <c r="E28" i="44" s="1"/>
  <c r="C24" i="44"/>
  <c r="E24" i="44" s="1"/>
  <c r="C20" i="44"/>
  <c r="E20" i="44" s="1"/>
  <c r="C16" i="44"/>
  <c r="E16" i="44" s="1"/>
  <c r="C12" i="44"/>
  <c r="E12" i="44" s="1"/>
  <c r="E14" i="42"/>
  <c r="E17" i="42" s="1"/>
  <c r="E19" i="42" s="1"/>
  <c r="F48" i="43"/>
  <c r="F39" i="44"/>
  <c r="G3" i="42" l="1"/>
  <c r="E34" i="42"/>
  <c r="E33" i="42"/>
  <c r="C3" i="42"/>
  <c r="E32" i="42"/>
  <c r="E3" i="42"/>
  <c r="D40" i="44"/>
  <c r="E40" i="44" s="1"/>
  <c r="C45" i="44"/>
  <c r="E9" i="44"/>
  <c r="E47" i="44" a="1"/>
  <c r="E47" i="44" s="1"/>
  <c r="E56" i="2"/>
  <c r="G55" i="2"/>
  <c r="D56" i="2"/>
  <c r="F55" i="2"/>
  <c r="G56" i="2" l="1"/>
  <c r="F56" i="2"/>
  <c r="D57" i="2"/>
  <c r="E57" i="2" s="1"/>
  <c r="F40" i="44"/>
  <c r="G57" i="2" l="1"/>
  <c r="D58" i="2"/>
  <c r="E58" i="2" s="1"/>
  <c r="F57" i="2"/>
  <c r="D41" i="44"/>
  <c r="E41" i="44" s="1"/>
  <c r="F41" i="44"/>
  <c r="G58" i="2" l="1"/>
  <c r="F58" i="2"/>
  <c r="D59" i="2"/>
  <c r="E59" i="2" s="1"/>
  <c r="D42" i="44"/>
  <c r="E42" i="44" s="1"/>
  <c r="F42" i="44"/>
  <c r="G59" i="2" l="1"/>
  <c r="D60" i="2"/>
  <c r="E60" i="2" s="1"/>
  <c r="F59" i="2"/>
  <c r="D43" i="44"/>
  <c r="E43" i="44" s="1"/>
  <c r="G60" i="2" l="1"/>
  <c r="F60" i="2"/>
  <c r="D61" i="2"/>
  <c r="E61" i="2" s="1"/>
  <c r="F43" i="44"/>
  <c r="G61" i="2" l="1"/>
  <c r="D62" i="2"/>
  <c r="E62" i="2" s="1"/>
  <c r="F61" i="2"/>
  <c r="D44" i="44"/>
  <c r="G62" i="2" l="1"/>
  <c r="F62" i="2"/>
  <c r="D63" i="2"/>
  <c r="E63" i="2" s="1"/>
  <c r="E44" i="44"/>
  <c r="D45" i="44"/>
  <c r="E45" i="44" s="1"/>
  <c r="F44" i="44"/>
  <c r="F45" i="44" s="1"/>
  <c r="G63" i="2" l="1"/>
  <c r="D64" i="2"/>
  <c r="E64" i="2" s="1"/>
  <c r="F63" i="2"/>
  <c r="G64" i="2" l="1"/>
  <c r="F64" i="2"/>
  <c r="D65" i="2"/>
  <c r="E65" i="2" s="1"/>
  <c r="G65" i="2" l="1"/>
  <c r="D66" i="2"/>
  <c r="E66" i="2" s="1"/>
  <c r="F65" i="2"/>
  <c r="G66" i="2" l="1"/>
  <c r="F66" i="2"/>
  <c r="D67" i="2"/>
  <c r="E67" i="2" s="1"/>
  <c r="G67" i="2" l="1"/>
  <c r="D68" i="2"/>
  <c r="E68" i="2" s="1"/>
  <c r="F67" i="2"/>
  <c r="G68" i="2" l="1"/>
  <c r="F68" i="2"/>
  <c r="D69" i="2"/>
  <c r="E69" i="2" s="1"/>
  <c r="G69" i="2" l="1"/>
  <c r="D70" i="2"/>
  <c r="E70" i="2" s="1"/>
  <c r="F69" i="2"/>
  <c r="G70" i="2" l="1"/>
  <c r="F70" i="2"/>
  <c r="D71" i="2"/>
  <c r="E71" i="2" s="1"/>
  <c r="G71" i="2" l="1"/>
  <c r="D72" i="2"/>
  <c r="D73" i="2" s="1"/>
  <c r="F71" i="2"/>
  <c r="E72" i="2" l="1"/>
  <c r="E73" i="2" l="1"/>
  <c r="G73" i="2" s="1"/>
  <c r="G72" i="2"/>
  <c r="F72" i="2"/>
  <c r="F7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3" authorId="0" shapeId="0" xr:uid="{00000000-0006-0000-0100-000001000000}">
      <text>
        <r>
          <rPr>
            <sz val="11"/>
            <color rgb="FF000000"/>
            <rFont val="Calibri"/>
            <family val="2"/>
            <scheme val="minor"/>
          </rPr>
          <t>Aporte regular de Set/26 (R$ 1.500) + valor do empréstimo LECCA aplicado no mesmo mês (R$ 12.300, ver aba 💳 Empréstimo).</t>
        </r>
      </text>
    </comment>
  </commentList>
</comments>
</file>

<file path=xl/sharedStrings.xml><?xml version="1.0" encoding="utf-8"?>
<sst xmlns="http://schemas.openxmlformats.org/spreadsheetml/2006/main" count="2826" uniqueCount="420">
  <si>
    <t>💰 PAINEL FINANCEIRO ANUAL — JUN/2025 a JUN/2026</t>
  </si>
  <si>
    <t>Categoria</t>
  </si>
  <si>
    <t>TOTAL / MÉDIA</t>
  </si>
  <si>
    <t>💰 Receita Total</t>
  </si>
  <si>
    <t>🔴 Despesas Total</t>
  </si>
  <si>
    <t>✅ Saldo Livre</t>
  </si>
  <si>
    <t>📌 Receita Recorrente</t>
  </si>
  <si>
    <t xml:space="preserve">💸 Despesas Fixas E Gerais </t>
  </si>
  <si>
    <t>📈 % Saldo s/ Receita</t>
  </si>
  <si>
    <t>📈 CONTROLE DE INVESTIMENTOS — JUN/2026 a JUL/2028</t>
  </si>
  <si>
    <t>⚙️ PREMISSAS — Altere os valores em azul</t>
  </si>
  <si>
    <t>Receita recorrente mensal (R$)</t>
  </si>
  <si>
    <t>Sem receitas não-recorrentes</t>
  </si>
  <si>
    <t>Despesas mensais totais (R$)</t>
  </si>
  <si>
    <t>Fixas + Gerais estimadas</t>
  </si>
  <si>
    <t>% destinado a investimentos</t>
  </si>
  <si>
    <t>Regra 50/30/20</t>
  </si>
  <si>
    <t>Rendimento mensal (CDB/Selic)</t>
  </si>
  <si>
    <t>~1,16%/mês ≈ 14,%/ano</t>
  </si>
  <si>
    <t>Meta reserva de emergência (R$)</t>
  </si>
  <si>
    <t>meta para novembro</t>
  </si>
  <si>
    <t>Mês</t>
  </si>
  <si>
    <t>Data</t>
  </si>
  <si>
    <t>Aporte (R$)</t>
  </si>
  <si>
    <t>Rendimento (R$)</t>
  </si>
  <si>
    <t>Saldo Acum. (R$)</t>
  </si>
  <si>
    <t>Meta Emerg. (%)</t>
  </si>
  <si>
    <t>Status</t>
  </si>
  <si>
    <t>Despesas Mensais (R$)</t>
  </si>
  <si>
    <t>Saldo Livre Mês (R$)</t>
  </si>
  <si>
    <t>C2</t>
  </si>
  <si>
    <t>010/2029</t>
  </si>
  <si>
    <t>TOTAL ACUMULADO</t>
  </si>
  <si>
    <t>💰 FINANÇAS — JUN/2026</t>
  </si>
  <si>
    <t>💰 RECEITA TOTAL</t>
  </si>
  <si>
    <t>🔴 DESPESAS TOTAL</t>
  </si>
  <si>
    <t>✅ SALDO LIVRE</t>
  </si>
  <si>
    <t>📊 % SALDO / RECEITA</t>
  </si>
  <si>
    <t>🔴  DESPESAS — Jun/2025</t>
  </si>
  <si>
    <t>Descrição</t>
  </si>
  <si>
    <t>Parcela</t>
  </si>
  <si>
    <t>Tipo</t>
  </si>
  <si>
    <t>Valor (R$)</t>
  </si>
  <si>
    <t>Pago?</t>
  </si>
  <si>
    <t>Obs.</t>
  </si>
  <si>
    <t>06/25</t>
  </si>
  <si>
    <t>Neon Fasomim</t>
  </si>
  <si>
    <t>1/3</t>
  </si>
  <si>
    <t>Parcelado</t>
  </si>
  <si>
    <t>Plano Cecília</t>
  </si>
  <si>
    <t>Fixo</t>
  </si>
  <si>
    <t>Água / Esgoto</t>
  </si>
  <si>
    <t>Energia</t>
  </si>
  <si>
    <t>Celular TIM</t>
  </si>
  <si>
    <t>Plano NENA</t>
  </si>
  <si>
    <t>Internet Casa</t>
  </si>
  <si>
    <t>Total Fixas/Parc.</t>
  </si>
  <si>
    <t>Despesas Gerais (est.)</t>
  </si>
  <si>
    <t>TOTAL DESPESAS MÊS</t>
  </si>
  <si>
    <t>🟢  RECEITAS — Jun/2026</t>
  </si>
  <si>
    <t>Recebido?</t>
  </si>
  <si>
    <t>Apartamento Rafa</t>
  </si>
  <si>
    <t>—</t>
  </si>
  <si>
    <t>Salário Rafa</t>
  </si>
  <si>
    <t>Salário Gabi</t>
  </si>
  <si>
    <t>Eliane Casa</t>
  </si>
  <si>
    <t>TOTAL RECEITAS</t>
  </si>
  <si>
    <t>💡 ANÁLISE RÁPIDA DO MÊS</t>
  </si>
  <si>
    <t>Saldo do mês:</t>
  </si>
  <si>
    <t>Aporte sugerido (50%):</t>
  </si>
  <si>
    <t>Reserva de emergência:</t>
  </si>
  <si>
    <t>💰 FINANÇAS — JUL/2025</t>
  </si>
  <si>
    <t>🔴  DESPESAS — Jul/2025</t>
  </si>
  <si>
    <t>Neon Iasmim</t>
  </si>
  <si>
    <t>🟢  RECEITAS — Jul/2025</t>
  </si>
  <si>
    <t>07/25</t>
  </si>
  <si>
    <t>Aporte sugerido (20%):</t>
  </si>
  <si>
    <t>💰 FINANÇAS — AGO/26</t>
  </si>
  <si>
    <t>🔴  DESPESAS — ago/2026</t>
  </si>
  <si>
    <t xml:space="preserve">dia de pagamento </t>
  </si>
  <si>
    <t xml:space="preserve">status </t>
  </si>
  <si>
    <t>GUARDA ROUPA</t>
  </si>
  <si>
    <t>3 DE 12</t>
  </si>
  <si>
    <t xml:space="preserve">PARCELADO </t>
  </si>
  <si>
    <t>CARTAO IASMIM</t>
  </si>
  <si>
    <t>pago</t>
  </si>
  <si>
    <t>ok</t>
  </si>
  <si>
    <t xml:space="preserve">PERFUMES </t>
  </si>
  <si>
    <t xml:space="preserve">ULTIMA </t>
  </si>
  <si>
    <t>BOTICARIO</t>
  </si>
  <si>
    <t xml:space="preserve">FIXO </t>
  </si>
  <si>
    <t xml:space="preserve">CREDICARD </t>
  </si>
  <si>
    <t>FIXO</t>
  </si>
  <si>
    <t xml:space="preserve">SOFA </t>
  </si>
  <si>
    <t>4 DE 6</t>
  </si>
  <si>
    <t>CARTAO INGRID</t>
  </si>
  <si>
    <t xml:space="preserve">CARTAO AMERICANAS </t>
  </si>
  <si>
    <t>TANSPORTE RAFA E GABI</t>
  </si>
  <si>
    <t>TRASPORTE  DE 20A31</t>
  </si>
  <si>
    <t>okj</t>
  </si>
  <si>
    <t xml:space="preserve">luz e agua </t>
  </si>
  <si>
    <t>fixo</t>
  </si>
  <si>
    <t>RAFAH E GABRIELA</t>
  </si>
  <si>
    <t xml:space="preserve">gabriela </t>
  </si>
  <si>
    <t>ate aqui--------&gt;&gt;&gt;&gt;</t>
  </si>
  <si>
    <t xml:space="preserve">total geral </t>
  </si>
  <si>
    <t>🟢  RECEITAS — ago /2026</t>
  </si>
  <si>
    <t>09/25</t>
  </si>
  <si>
    <t>adiantamento rafa e gabi</t>
  </si>
  <si>
    <t>Salário Rafa e gabi</t>
  </si>
  <si>
    <t xml:space="preserve">eliane e marcio agua e luz </t>
  </si>
  <si>
    <t xml:space="preserve">resgate investimento  </t>
  </si>
  <si>
    <t>💰 FINANÇAS — SET/2025</t>
  </si>
  <si>
    <t>🔴  DESPESAS — Set/2025</t>
  </si>
  <si>
    <t xml:space="preserve">dia </t>
  </si>
  <si>
    <t>4 DE 12</t>
  </si>
  <si>
    <t>5 DE 6</t>
  </si>
  <si>
    <t xml:space="preserve">AMERICANAS </t>
  </si>
  <si>
    <t>🟢  RECEITAS — Set/2025</t>
  </si>
  <si>
    <t>💰 FINANÇAS — OUT/2025</t>
  </si>
  <si>
    <t>🔴  DESPESAS — Out/2026</t>
  </si>
  <si>
    <t>5 DE 12</t>
  </si>
  <si>
    <t>CARTAO NEON IASMIM</t>
  </si>
  <si>
    <t>FATURA MÊS</t>
  </si>
  <si>
    <t>10/25</t>
  </si>
  <si>
    <t>6 DE 6</t>
  </si>
  <si>
    <t>Parcela Empréstimo LECCA</t>
  </si>
  <si>
    <t>🟢  RECEITAS — Out/2026</t>
  </si>
  <si>
    <t>💰 FINANÇAS — NOV/2025</t>
  </si>
  <si>
    <t>🔴  DESPESAS — Nov/2025</t>
  </si>
  <si>
    <t>6 DE 12</t>
  </si>
  <si>
    <t>NEON IASMIM</t>
  </si>
  <si>
    <t>11/25</t>
  </si>
  <si>
    <t>🟢  RECEITAS — Nov/2025</t>
  </si>
  <si>
    <t xml:space="preserve">1° parcela decimo  rafa </t>
  </si>
  <si>
    <t xml:space="preserve">1° parcela decimno gabriela </t>
  </si>
  <si>
    <t>💰 FINANÇAS — DEZ/2025</t>
  </si>
  <si>
    <t>🔴  DESPESAS — Dez/2025</t>
  </si>
  <si>
    <t>7 DE 12</t>
  </si>
  <si>
    <t>12/25</t>
  </si>
  <si>
    <t xml:space="preserve">CASA BAHIA </t>
  </si>
  <si>
    <t>5 DE 5</t>
  </si>
  <si>
    <t>PARCELADO 224</t>
  </si>
  <si>
    <t>CURSO ELETRO TEC</t>
  </si>
  <si>
    <t>3 DE 5</t>
  </si>
  <si>
    <t>PARCELADO</t>
  </si>
  <si>
    <t>🟢  RECEITAS — Dez/2025</t>
  </si>
  <si>
    <t>Salário Rafae gabi</t>
  </si>
  <si>
    <t xml:space="preserve">2° parcela decimo  rafa </t>
  </si>
  <si>
    <t xml:space="preserve">decimo </t>
  </si>
  <si>
    <t xml:space="preserve">2° parcela decimno gabriela </t>
  </si>
  <si>
    <t>💰 FINANÇAS — JAN/2026</t>
  </si>
  <si>
    <t>🔴  DESPESAS — Jan/2026</t>
  </si>
  <si>
    <t>01/26</t>
  </si>
  <si>
    <t>7/8</t>
  </si>
  <si>
    <t>🟢  RECEITAS — Jan/2026</t>
  </si>
  <si>
    <t>💰 FINANÇAS — FEV/2026</t>
  </si>
  <si>
    <t>🔴  DESPESAS — Fev/2026</t>
  </si>
  <si>
    <t>🟢  RECEITAS — Fev/2026</t>
  </si>
  <si>
    <t>02/26</t>
  </si>
  <si>
    <t>💰 FINANÇAS — MAR/2026</t>
  </si>
  <si>
    <t>🔴  DESPESAS — Mar/2026</t>
  </si>
  <si>
    <t>03/26</t>
  </si>
  <si>
    <t>🟢  RECEITAS — Mar/2026</t>
  </si>
  <si>
    <t>💰 FINANÇAS — ABR/2026</t>
  </si>
  <si>
    <t>🔴  DESPESAS — Abr/2026</t>
  </si>
  <si>
    <t>04/26</t>
  </si>
  <si>
    <t>Quitado</t>
  </si>
  <si>
    <t>04/27</t>
  </si>
  <si>
    <t>Parcela 7/36</t>
  </si>
  <si>
    <t>🟢  RECEITAS — Abr/2026</t>
  </si>
  <si>
    <t>💰 FINANÇAS — MAI/2026</t>
  </si>
  <si>
    <t>🔴  DESPESAS — Mai/2026</t>
  </si>
  <si>
    <t>05/26</t>
  </si>
  <si>
    <t>05/27</t>
  </si>
  <si>
    <t>Parcela 8/36</t>
  </si>
  <si>
    <t>🟢  RECEITAS — Mai/2026</t>
  </si>
  <si>
    <t>🔴  DESPESAS — Jun/2026</t>
  </si>
  <si>
    <t>06/26</t>
  </si>
  <si>
    <t>06/27</t>
  </si>
  <si>
    <t>Parcela 9/36</t>
  </si>
  <si>
    <t>💰 FINANÇAS — JUL/2027</t>
  </si>
  <si>
    <t>🔴  DESPESAS — Jul/2027</t>
  </si>
  <si>
    <t>07/27</t>
  </si>
  <si>
    <t>Parcela 10/36</t>
  </si>
  <si>
    <t>🟢  RECEITAS — Jul/2027</t>
  </si>
  <si>
    <t>💰 FINANÇAS — AGO/2027</t>
  </si>
  <si>
    <t>🔴  DESPESAS — Ago/2027</t>
  </si>
  <si>
    <t>08/27</t>
  </si>
  <si>
    <t>Parcela 11/36</t>
  </si>
  <si>
    <t>🟢  RECEITAS — Ago/2027</t>
  </si>
  <si>
    <t>💰 FINANÇAS — SET/2027</t>
  </si>
  <si>
    <t>🔴  DESPESAS — Set/2027</t>
  </si>
  <si>
    <t>09/27</t>
  </si>
  <si>
    <t>Parcela 12/36</t>
  </si>
  <si>
    <t>🟢  RECEITAS — Set/2027</t>
  </si>
  <si>
    <t>💰 FINANÇAS — OUT/2027</t>
  </si>
  <si>
    <t>🔴  DESPESAS — Out/2027</t>
  </si>
  <si>
    <t>10/27</t>
  </si>
  <si>
    <t>Parcela 13/36</t>
  </si>
  <si>
    <t>🟢  RECEITAS — Out/2027</t>
  </si>
  <si>
    <t>💰 FINANÇAS — NOV/2027</t>
  </si>
  <si>
    <t>🔴  DESPESAS — Nov/2027</t>
  </si>
  <si>
    <t>11/27</t>
  </si>
  <si>
    <t>Parcela 14/36</t>
  </si>
  <si>
    <t>🟢  RECEITAS — Nov/2027</t>
  </si>
  <si>
    <t>💰 FINANÇAS — DEZ/2027</t>
  </si>
  <si>
    <t>🔴  DESPESAS — Dez/2027</t>
  </si>
  <si>
    <t>12/27</t>
  </si>
  <si>
    <t>Parcela 15/36</t>
  </si>
  <si>
    <t>🟢  RECEITAS — Dez/2027</t>
  </si>
  <si>
    <t>💰 FINANÇAS — JAN/2028</t>
  </si>
  <si>
    <t>🔴  DESPESAS — Jan/2028</t>
  </si>
  <si>
    <t>01/28</t>
  </si>
  <si>
    <t>Parcela 16/36</t>
  </si>
  <si>
    <t>🟢  RECEITAS — Jan/2028</t>
  </si>
  <si>
    <t>💰 FINANÇAS — FEV/2028</t>
  </si>
  <si>
    <t>🔴  DESPESAS — Fev/2028</t>
  </si>
  <si>
    <t>02/28</t>
  </si>
  <si>
    <t>Parcela 17/36</t>
  </si>
  <si>
    <t>🟢  RECEITAS — Fev/2028</t>
  </si>
  <si>
    <t>💰 FINANÇAS — MAR/2028</t>
  </si>
  <si>
    <t>🔴  DESPESAS — Mar/2028</t>
  </si>
  <si>
    <t>03/28</t>
  </si>
  <si>
    <t>Parcela 18/36</t>
  </si>
  <si>
    <t>🟢  RECEITAS — Mar/2028</t>
  </si>
  <si>
    <t>💰 FINANÇAS — ABR/2028</t>
  </si>
  <si>
    <t>🔴  DESPESAS — Abr/2028</t>
  </si>
  <si>
    <t>04/28</t>
  </si>
  <si>
    <t>Parcela 19/36</t>
  </si>
  <si>
    <t>🟢  RECEITAS — Abr/2028</t>
  </si>
  <si>
    <t>💰 FINANÇAS — MAI/2028</t>
  </si>
  <si>
    <t>🔴  DESPESAS — Mai/2028</t>
  </si>
  <si>
    <t>05/28</t>
  </si>
  <si>
    <t>Parcela 20/36</t>
  </si>
  <si>
    <t>🟢  RECEITAS — Mai/2028</t>
  </si>
  <si>
    <t>💰 FINANÇAS — JUN/2028</t>
  </si>
  <si>
    <t>🔴  DESPESAS — Jun/2028</t>
  </si>
  <si>
    <t>06/28</t>
  </si>
  <si>
    <t>Parcela 21/36</t>
  </si>
  <si>
    <t>🟢  RECEITAS — Jun/2028</t>
  </si>
  <si>
    <t>💰 FINANÇAS — JUL/2028</t>
  </si>
  <si>
    <t>🔴  DESPESAS — Jul/2028</t>
  </si>
  <si>
    <t>07/28</t>
  </si>
  <si>
    <t>Parcela 22/36</t>
  </si>
  <si>
    <t>🟢  RECEITAS — Jul/2028</t>
  </si>
  <si>
    <t>💰 FINANÇAS — AGO/2028</t>
  </si>
  <si>
    <t>🔴  DESPESAS — Ago/2028</t>
  </si>
  <si>
    <t>08/28</t>
  </si>
  <si>
    <t>Parcela 23/36</t>
  </si>
  <si>
    <t>🟢  RECEITAS — Ago/2028</t>
  </si>
  <si>
    <t>💰 FINANÇAS — SET/2028</t>
  </si>
  <si>
    <t>🔴  DESPESAS — Set/2028</t>
  </si>
  <si>
    <t>09/28</t>
  </si>
  <si>
    <t>Parcela 24/36</t>
  </si>
  <si>
    <t>🟢  RECEITAS — Set/2028</t>
  </si>
  <si>
    <t>💰 FINANÇAS — OUT/2028</t>
  </si>
  <si>
    <t>🔴  DESPESAS — Out/2028</t>
  </si>
  <si>
    <t>10/28</t>
  </si>
  <si>
    <t>Parcela 25/36</t>
  </si>
  <si>
    <t>🟢  RECEITAS — Out/2028</t>
  </si>
  <si>
    <t>💰 FINANÇAS — NOV/2028</t>
  </si>
  <si>
    <t>🔴  DESPESAS — Nov/2028</t>
  </si>
  <si>
    <t>11/28</t>
  </si>
  <si>
    <t>Parcela 26/36</t>
  </si>
  <si>
    <t>🟢  RECEITAS — Nov/2028</t>
  </si>
  <si>
    <t>💰 FINANÇAS — DEZ/2028</t>
  </si>
  <si>
    <t>🔴  DESPESAS — Dez/2028</t>
  </si>
  <si>
    <t>12/28</t>
  </si>
  <si>
    <t>Parcela 27/36</t>
  </si>
  <si>
    <t>🟢  RECEITAS — Dez/2028</t>
  </si>
  <si>
    <t>💰 FINANÇAS — JAN/2029</t>
  </si>
  <si>
    <t>🔴  DESPESAS — Jan/2029</t>
  </si>
  <si>
    <t>01/29</t>
  </si>
  <si>
    <t>Parcela 28/36</t>
  </si>
  <si>
    <t>🟢  RECEITAS — Jan/2029</t>
  </si>
  <si>
    <t>💰 FINANÇAS — FEV/2029</t>
  </si>
  <si>
    <t>🔴  DESPESAS — Fev/2029</t>
  </si>
  <si>
    <t>02/29</t>
  </si>
  <si>
    <t>Parcela 29/36</t>
  </si>
  <si>
    <t>🟢  RECEITAS — Fev/2029</t>
  </si>
  <si>
    <t>💰 FINANÇAS — MAR/2029</t>
  </si>
  <si>
    <t>🔴  DESPESAS — Mar/2029</t>
  </si>
  <si>
    <t>03/29</t>
  </si>
  <si>
    <t>Parcela 30/36</t>
  </si>
  <si>
    <t>🟢  RECEITAS — Mar/2029</t>
  </si>
  <si>
    <t>💰 FINANÇAS — ABR/2029</t>
  </si>
  <si>
    <t>🔴  DESPESAS — Abr/2029</t>
  </si>
  <si>
    <t>04/29</t>
  </si>
  <si>
    <t>Parcela 31/36</t>
  </si>
  <si>
    <t>🟢  RECEITAS — Abr/2029</t>
  </si>
  <si>
    <t>💰 FINANÇAS — MAI/2029</t>
  </si>
  <si>
    <t>🔴  DESPESAS — Mai/2029</t>
  </si>
  <si>
    <t>05/29</t>
  </si>
  <si>
    <t>Parcela 32/36</t>
  </si>
  <si>
    <t>🟢  RECEITAS — Mai/2029</t>
  </si>
  <si>
    <t>💰 FINANÇAS — JUN/2029</t>
  </si>
  <si>
    <t>🔴  DESPESAS — Jun/2029</t>
  </si>
  <si>
    <t>06/29</t>
  </si>
  <si>
    <t>Parcela 33/36</t>
  </si>
  <si>
    <t>🟢  RECEITAS — Jun/2029</t>
  </si>
  <si>
    <t>💰 FINANÇAS — JUL/2029</t>
  </si>
  <si>
    <t>🔴  DESPESAS — Jul/2029</t>
  </si>
  <si>
    <t>07/29</t>
  </si>
  <si>
    <t>Parcela 34/36</t>
  </si>
  <si>
    <t>🟢  RECEITAS — Jul/2029</t>
  </si>
  <si>
    <t>💰 FINANÇAS — AGO/2029</t>
  </si>
  <si>
    <t>🔴  DESPESAS — Ago/2029</t>
  </si>
  <si>
    <t>08/29</t>
  </si>
  <si>
    <t>Parcela 35/36</t>
  </si>
  <si>
    <t>🟢  RECEITAS — Ago/2029</t>
  </si>
  <si>
    <t>💰 FINANÇAS — SET/2029</t>
  </si>
  <si>
    <t>🔴  DESPESAS — Set/2029</t>
  </si>
  <si>
    <t>09/29</t>
  </si>
  <si>
    <t>Parcela 36/36</t>
  </si>
  <si>
    <t>🟢  RECEITAS — Set/2029</t>
  </si>
  <si>
    <t>💳 CONTROLE DE EMPRÉSTIMO — Proposta LECCA (36 meses)</t>
  </si>
  <si>
    <t>Valor financiado (R$)</t>
  </si>
  <si>
    <t>Valor liberado conforme proposta LECCA</t>
  </si>
  <si>
    <t>Juros total do empréstimo (R$)</t>
  </si>
  <si>
    <t>Total de juros pagos em 36 meses (era usado para somar ao aporte de Set/26 — agora usado no cruzamento com o rendimento)</t>
  </si>
  <si>
    <t>Parcela mensal (R$)</t>
  </si>
  <si>
    <t>Valor fixo informado na proposta</t>
  </si>
  <si>
    <t>Prazo (meses)</t>
  </si>
  <si>
    <t>CET informado (a.m. / a.a.)</t>
  </si>
  <si>
    <t>2,43% a.m. / 33,94% a.a. — Custo Efetivo Total, já com IOF</t>
  </si>
  <si>
    <t>Taxa efetiva usada nos cálculos (a.m.)</t>
  </si>
  <si>
    <t>Taxa que reconcilia valor financiado, parcela e prazo informados (pequena dif. do CET nominal por arredondamento/IOF embutido)</t>
  </si>
  <si>
    <t>Data de liberação do crédito</t>
  </si>
  <si>
    <t>1ª parcela vence no mês seguinte (Out/26)</t>
  </si>
  <si>
    <t>Juros médio mensal (R$)</t>
  </si>
  <si>
    <t>Juros total ÷ 36 meses — usado como custo mensal médio no cruzamento com o rendimento (aba 📊 Cruzamento)</t>
  </si>
  <si>
    <t>Saldo Inicial (R$)</t>
  </si>
  <si>
    <t>Juros do Mês (R$)</t>
  </si>
  <si>
    <t>Amortização (R$)</t>
  </si>
  <si>
    <t>Parcela (R$)</t>
  </si>
  <si>
    <t>Saldo Final (R$)</t>
  </si>
  <si>
    <t>TOTAL</t>
  </si>
  <si>
    <t>Custo total do dinheiro (juros pagos em 36 meses):</t>
  </si>
  <si>
    <t>📊 CRUZAMENTO: JUROS DO EMPRÉSTIMO vs. RENDIMENTO DO INVESTIMENTO (Set/26 a Ago/29)</t>
  </si>
  <si>
    <t>Saldo inicial investido (R$)</t>
  </si>
  <si>
    <t>Reserva acumulada + valor do empréstimo aplicado em Set/26</t>
  </si>
  <si>
    <t>Aporte mensal (R$)</t>
  </si>
  <si>
    <t>Aporte reduzido (vs. R$ 2.000) para caber a parcela do empréstimo no orçamento</t>
  </si>
  <si>
    <t>Data de início (Mês 1)</t>
  </si>
  <si>
    <t>Alinhado ao vencimento da 1ª parcela do empréstimo</t>
  </si>
  <si>
    <t>Nesta versão, o juro do empréstimo é tratado como custo médio mensal fixo (juros totais ÷ 36), não a curva real decrescente da amortização — ver aba 💳 Empréstimo para o valor exato mês a mês.</t>
  </si>
  <si>
    <t>Juros Empréstimo/Mês (R$)</t>
  </si>
  <si>
    <t>Rendimento Investimento/Mês (R$)</t>
  </si>
  <si>
    <t>Diferença Rend. − Juros (R$)</t>
  </si>
  <si>
    <t>Saldo Investimento Acum. (R$)</t>
  </si>
  <si>
    <t>TOTAL / SALDO FINAL</t>
  </si>
  <si>
    <t>Mês em que o rendimento passa a superar o juro do mês:</t>
  </si>
  <si>
    <t>Análise: até o cruzamento, o custo do empréstimo pesa mais no caixa; depois dele, o rendimento do investimento gera mais do que o juro cobra por mês. No acumulado dos 36 meses, o rendimento total supera o custo total do empréstimo.</t>
  </si>
  <si>
    <t>✂️ PLANO DE REDUÇÃO DE CUSTOS</t>
  </si>
  <si>
    <t>Despesa</t>
  </si>
  <si>
    <t>Atual (R$)</t>
  </si>
  <si>
    <t>Meta (R$)</t>
  </si>
  <si>
    <t>Economia/mês</t>
  </si>
  <si>
    <t>Ação</t>
  </si>
  <si>
    <t>🟡 Pendente</t>
  </si>
  <si>
    <t>Migrar para operadora digital (Claro/Vivo/C6)</t>
  </si>
  <si>
    <t>✅ OK</t>
  </si>
  <si>
    <t xml:space="preserve">inegociavel </t>
  </si>
  <si>
    <t>Verificar plano familiar/combo com NENA</t>
  </si>
  <si>
    <t>Negociar fidelidade ou trocar provedor</t>
  </si>
  <si>
    <t>Hábitos de consumo / lâmpadas LED</t>
  </si>
  <si>
    <t>Sem ação imediata — custo fixo externo</t>
  </si>
  <si>
    <t>⏳ Quitando</t>
  </si>
  <si>
    <t>Parcelado — aguardar quitação (3 parcelas)</t>
  </si>
  <si>
    <t>💡 ANÁLISE &amp; RECOMENDAÇÕES</t>
  </si>
  <si>
    <t>Ícone</t>
  </si>
  <si>
    <t>Tópico</t>
  </si>
  <si>
    <t>Detalhe</t>
  </si>
  <si>
    <t>✅</t>
  </si>
  <si>
    <t>Regra 50/30/20 para investir</t>
  </si>
  <si>
    <t>Sobre R$ 4.525 recorrentes → R$ 1800/mês investidos. Em 12 meses = ~R$ 10.860 + juros compostos.</t>
  </si>
  <si>
    <t>🚨</t>
  </si>
  <si>
    <t>Perda do Seguro Gabi em Jul/2025</t>
  </si>
  <si>
    <t>Receita cai R$ 1.371/mês a partir de julho. Renda recorrente: ~R$ 4.525. Planeje AGORA.</t>
  </si>
  <si>
    <t>⚠️</t>
  </si>
  <si>
    <t>Plano NENA custa R$ 288</t>
  </si>
  <si>
    <t>É a despesa mais cara. Pesquise alternativas ou negocie. Economia potencial: R$ 80–120/mês.</t>
  </si>
  <si>
    <t>Celular TIM R$ 120</t>
  </si>
  <si>
    <t>Planos de R$ 60–80 com boa franquia existem. Migrar pode economizar ~R$ 40–60/mês.</t>
  </si>
  <si>
    <t>💡</t>
  </si>
  <si>
    <t>Dois planos: Cecília + NENA</t>
  </si>
  <si>
    <t>R$ 216 + R$ 288 = R$ 504. Verifique plano familiar/combo para economizar.</t>
  </si>
  <si>
    <t>🏦</t>
  </si>
  <si>
    <t>Prioridade: Reserva de Emergência</t>
  </si>
  <si>
    <t>Meta: R$ 15.000 (6× despesas). CDB liquidez diária ou Tesouro Selic. Prioridade máxima.</t>
  </si>
  <si>
    <t>📈</t>
  </si>
  <si>
    <t>Próximo passo: Tesouro / CDBs</t>
  </si>
  <si>
    <t>Renda fixa segura enquanto aprende. Tesouro Selic p/ liquidez, CDB p/ prazo.</t>
  </si>
  <si>
    <t>📊</t>
  </si>
  <si>
    <t>Longo prazo: Fundos Indexados</t>
  </si>
  <si>
    <t>IVVB11 (S&amp;P500 em BRL) e BOVA11 (Ibovespa). Diversificação simples no longo prazo.</t>
  </si>
  <si>
    <t>✅ SUAS 3 AÇÕES DESTA SEMANA</t>
  </si>
  <si>
    <t>1</t>
  </si>
  <si>
    <t>Hoje</t>
  </si>
  <si>
    <t>Descubra o que é o Plano NENA e pesquise 2 alternativas mais baratas</t>
  </si>
  <si>
    <t>2</t>
  </si>
  <si>
    <t>Esta semana</t>
  </si>
  <si>
    <t>Simule portabilidade do TIM para Claro/Vivo/C6 — economia ~R$ 50/mês</t>
  </si>
  <si>
    <t>3</t>
  </si>
  <si>
    <t>Antes de Julho</t>
  </si>
  <si>
    <t>Separe R$ 1800 em conta separada no dia do salário — ANTES de gastar qualquer coisa</t>
  </si>
  <si>
    <t xml:space="preserve">Água / luz </t>
  </si>
  <si>
    <t xml:space="preserve">pis </t>
  </si>
  <si>
    <t xml:space="preserve">adintamento rafa e gabi </t>
  </si>
  <si>
    <t xml:space="preserve">salario rafa e gabi </t>
  </si>
  <si>
    <t>CARTAO TRANSPORTE</t>
  </si>
  <si>
    <t>INGRID</t>
  </si>
  <si>
    <t xml:space="preserve">GAS </t>
  </si>
  <si>
    <t>IASMIM</t>
  </si>
  <si>
    <t>HAP VIDA</t>
  </si>
  <si>
    <t>TIM</t>
  </si>
  <si>
    <t xml:space="preserve">CLARO </t>
  </si>
  <si>
    <t xml:space="preserve">GABRIELA </t>
  </si>
  <si>
    <t xml:space="preserve">COMPRAS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</si>
</sst>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m\-yy"/>
    <numFmt numFmtId="165" formatCode="&quot;R$ &quot;#,##0.00"/>
    <numFmt numFmtId="166" formatCode="0.0%"/>
    <numFmt numFmtId="167" formatCode="mm/yyyy"/>
    <numFmt numFmtId="168" formatCode="d\-mmm"/>
    <numFmt numFmtId="169" formatCode="m/d/yyyy"/>
    <numFmt numFmtId="170" formatCode="0.0000%"/>
  </numFmts>
  <fonts count="33" x14ac:knownFonts="1">
    <font>
      <sz val="11"/>
      <color rgb="FF000000"/>
      <name val="Calibri"/>
      <scheme val="minor"/>
    </font>
    <font>
      <b/>
      <sz val="14"/>
      <color rgb="FFFFFFFF"/>
      <name val="Arial"/>
      <family val="2"/>
    </font>
    <font>
      <sz val="11"/>
      <name val="Calibri"/>
      <family val="2"/>
    </font>
    <font>
      <b/>
      <sz val="10"/>
      <color rgb="FFFFFFFF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sz val="9"/>
      <color rgb="FF1E8449"/>
      <name val="Arial"/>
      <family val="2"/>
    </font>
    <font>
      <b/>
      <sz val="9"/>
      <color rgb="FFFFFFFF"/>
      <name val="Arial"/>
      <family val="2"/>
    </font>
    <font>
      <sz val="9"/>
      <color rgb="FF922B21"/>
      <name val="Arial"/>
      <family val="2"/>
    </font>
    <font>
      <b/>
      <sz val="9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b/>
      <sz val="10"/>
      <color rgb="FF1E8449"/>
      <name val="Arial"/>
      <family val="2"/>
    </font>
    <font>
      <b/>
      <sz val="13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FF"/>
      <name val="Arial"/>
      <family val="2"/>
    </font>
    <font>
      <sz val="10"/>
      <color rgb="FF7F8C8D"/>
      <name val="Arial"/>
      <family val="2"/>
    </font>
    <font>
      <b/>
      <sz val="11"/>
      <color rgb="FFFFFFFF"/>
      <name val="Arial"/>
      <family val="2"/>
    </font>
    <font>
      <b/>
      <sz val="12"/>
      <color rgb="FF1E8449"/>
      <name val="Arial"/>
      <family val="2"/>
    </font>
    <font>
      <b/>
      <sz val="12"/>
      <color rgb="FF922B21"/>
      <name val="Arial"/>
      <family val="2"/>
    </font>
    <font>
      <b/>
      <sz val="12"/>
      <color rgb="FF9A7D0A"/>
      <name val="Arial"/>
      <family val="2"/>
    </font>
    <font>
      <b/>
      <sz val="12"/>
      <color rgb="FF117A65"/>
      <name val="Arial"/>
      <family val="2"/>
    </font>
    <font>
      <b/>
      <sz val="9"/>
      <color rgb="FF00FF00"/>
      <name val="Arial"/>
      <family val="2"/>
    </font>
    <font>
      <b/>
      <sz val="12"/>
      <color rgb="FF00FF00"/>
      <name val="Arial"/>
      <family val="2"/>
    </font>
    <font>
      <sz val="11"/>
      <color rgb="FF00FF00"/>
      <name val="Calibri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color rgb="FF00FF00"/>
      <name val="Arial"/>
      <family val="2"/>
    </font>
    <font>
      <sz val="11"/>
      <name val="Calibri"/>
      <family val="2"/>
    </font>
    <font>
      <i/>
      <sz val="9"/>
      <color rgb="FF666666"/>
      <name val="Arial"/>
      <family val="2"/>
    </font>
    <font>
      <sz val="11"/>
      <color rgb="FFFF0000"/>
      <name val="Calibri"/>
      <family val="2"/>
    </font>
    <font>
      <sz val="11"/>
      <color rgb="FF008000"/>
      <name val="Calibri"/>
      <family val="2"/>
    </font>
    <font>
      <sz val="11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EBF5FB"/>
        <bgColor rgb="FFEBF5FB"/>
      </patternFill>
    </fill>
    <fill>
      <patternFill patternType="solid">
        <fgColor rgb="FF1A5276"/>
        <bgColor rgb="FF1A5276"/>
      </patternFill>
    </fill>
    <fill>
      <patternFill patternType="solid">
        <fgColor rgb="FFD6E4F0"/>
        <bgColor rgb="FFD6E4F0"/>
      </patternFill>
    </fill>
    <fill>
      <patternFill patternType="solid">
        <fgColor rgb="FFF8F9FA"/>
        <bgColor rgb="FFF8F9FA"/>
      </patternFill>
    </fill>
    <fill>
      <patternFill patternType="solid">
        <fgColor rgb="FFD5F5E3"/>
        <bgColor rgb="FFD5F5E3"/>
      </patternFill>
    </fill>
    <fill>
      <patternFill patternType="solid">
        <fgColor rgb="FFFADBD8"/>
        <bgColor rgb="FFFADBD8"/>
      </patternFill>
    </fill>
    <fill>
      <patternFill patternType="solid">
        <fgColor rgb="FFFEF9E7"/>
        <bgColor rgb="FFFEF9E7"/>
      </patternFill>
    </fill>
    <fill>
      <patternFill patternType="solid">
        <fgColor rgb="FFD1F2EB"/>
        <bgColor rgb="FFD1F2EB"/>
      </patternFill>
    </fill>
    <fill>
      <patternFill patternType="solid">
        <fgColor rgb="FFC0392B"/>
        <bgColor rgb="FFC0392B"/>
      </patternFill>
    </fill>
    <fill>
      <patternFill patternType="solid">
        <fgColor rgb="FFE74C3C"/>
        <bgColor rgb="FFE74C3C"/>
      </patternFill>
    </fill>
    <fill>
      <patternFill patternType="solid">
        <fgColor rgb="FFD5D8DC"/>
        <bgColor rgb="FFD5D8DC"/>
      </patternFill>
    </fill>
    <fill>
      <patternFill patternType="solid">
        <fgColor rgb="FF1E8449"/>
        <bgColor rgb="FF1E8449"/>
      </patternFill>
    </fill>
    <fill>
      <patternFill patternType="solid">
        <fgColor rgb="FF27AE60"/>
        <bgColor rgb="FF27AE60"/>
      </patternFill>
    </fill>
    <fill>
      <patternFill patternType="solid">
        <fgColor rgb="FFE8F8F5"/>
        <bgColor rgb="FFE8F8F5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2EFDA"/>
      </patternFill>
    </fill>
    <fill>
      <patternFill patternType="solid">
        <fgColor rgb="FFE67E22"/>
        <bgColor rgb="FFE67E22"/>
      </patternFill>
    </fill>
    <fill>
      <patternFill patternType="solid">
        <fgColor rgb="FFD35400"/>
        <bgColor rgb="FFD35400"/>
      </patternFill>
    </fill>
    <fill>
      <patternFill patternType="solid">
        <fgColor rgb="FF6C3483"/>
        <bgColor rgb="FF6C3483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/>
      <bottom/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/>
      <bottom/>
      <diagonal/>
    </border>
    <border>
      <left/>
      <right style="thin">
        <color rgb="FFBDBDBD"/>
      </right>
      <top/>
      <bottom/>
      <diagonal/>
    </border>
  </borders>
  <cellStyleXfs count="1">
    <xf numFmtId="0" fontId="0" fillId="0" borderId="0"/>
  </cellStyleXfs>
  <cellXfs count="176">
    <xf numFmtId="0" fontId="0" fillId="0" borderId="0" xfId="0" applyFont="1" applyAlignment="1"/>
    <xf numFmtId="0" fontId="3" fillId="3" borderId="4" xfId="0" applyFont="1" applyFill="1" applyBorder="1" applyAlignment="1">
      <alignment horizontal="center" vertical="center" wrapText="1"/>
    </xf>
    <xf numFmtId="164" fontId="3" fillId="3" borderId="4" xfId="0" applyNumberFormat="1" applyFont="1" applyFill="1" applyBorder="1" applyAlignment="1">
      <alignment horizontal="center" vertical="center" wrapText="1"/>
    </xf>
    <xf numFmtId="0" fontId="4" fillId="0" borderId="0" xfId="0" applyFont="1" applyAlignment="1"/>
    <xf numFmtId="0" fontId="5" fillId="4" borderId="4" xfId="0" applyFont="1" applyFill="1" applyBorder="1" applyAlignment="1">
      <alignment horizontal="left" vertical="center"/>
    </xf>
    <xf numFmtId="165" fontId="6" fillId="4" borderId="4" xfId="0" applyNumberFormat="1" applyFont="1" applyFill="1" applyBorder="1" applyAlignment="1">
      <alignment horizontal="center" vertical="center" wrapText="1"/>
    </xf>
    <xf numFmtId="165" fontId="7" fillId="5" borderId="4" xfId="0" applyNumberFormat="1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left" vertical="center"/>
    </xf>
    <xf numFmtId="165" fontId="8" fillId="6" borderId="4" xfId="0" applyNumberFormat="1" applyFont="1" applyFill="1" applyBorder="1" applyAlignment="1">
      <alignment horizontal="center" vertical="center" wrapText="1"/>
    </xf>
    <xf numFmtId="165" fontId="9" fillId="4" borderId="4" xfId="0" applyNumberFormat="1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left" vertical="center"/>
    </xf>
    <xf numFmtId="0" fontId="10" fillId="7" borderId="5" xfId="0" applyFont="1" applyFill="1" applyBorder="1" applyAlignment="1"/>
    <xf numFmtId="165" fontId="11" fillId="4" borderId="4" xfId="0" applyNumberFormat="1" applyFont="1" applyFill="1" applyBorder="1" applyAlignment="1">
      <alignment horizontal="center" vertical="center" wrapText="1"/>
    </xf>
    <xf numFmtId="165" fontId="11" fillId="6" borderId="4" xfId="0" applyNumberFormat="1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left" vertical="center"/>
    </xf>
    <xf numFmtId="166" fontId="6" fillId="8" borderId="4" xfId="0" applyNumberFormat="1" applyFont="1" applyFill="1" applyBorder="1" applyAlignment="1">
      <alignment horizontal="center" vertical="center" wrapText="1"/>
    </xf>
    <xf numFmtId="166" fontId="7" fillId="5" borderId="4" xfId="0" applyNumberFormat="1" applyFont="1" applyFill="1" applyBorder="1" applyAlignment="1">
      <alignment horizontal="center" vertical="center" wrapText="1"/>
    </xf>
    <xf numFmtId="0" fontId="10" fillId="0" borderId="0" xfId="0" applyFont="1" applyAlignment="1"/>
    <xf numFmtId="0" fontId="14" fillId="0" borderId="0" xfId="0" applyFont="1" applyAlignment="1"/>
    <xf numFmtId="165" fontId="15" fillId="0" borderId="0" xfId="0" applyNumberFormat="1" applyFont="1" applyAlignment="1"/>
    <xf numFmtId="0" fontId="16" fillId="0" borderId="0" xfId="0" applyFont="1" applyAlignment="1"/>
    <xf numFmtId="10" fontId="15" fillId="0" borderId="0" xfId="0" applyNumberFormat="1" applyFont="1" applyAlignment="1"/>
    <xf numFmtId="0" fontId="3" fillId="2" borderId="4" xfId="0" applyFont="1" applyFill="1" applyBorder="1" applyAlignment="1">
      <alignment horizontal="center" vertical="center" wrapText="1"/>
    </xf>
    <xf numFmtId="167" fontId="5" fillId="6" borderId="4" xfId="0" applyNumberFormat="1" applyFont="1" applyFill="1" applyBorder="1" applyAlignment="1">
      <alignment horizontal="center" vertical="center" wrapText="1"/>
    </xf>
    <xf numFmtId="168" fontId="10" fillId="6" borderId="4" xfId="0" applyNumberFormat="1" applyFont="1" applyFill="1" applyBorder="1" applyAlignment="1">
      <alignment horizontal="center" vertical="center" wrapText="1"/>
    </xf>
    <xf numFmtId="165" fontId="10" fillId="6" borderId="4" xfId="0" applyNumberFormat="1" applyFont="1" applyFill="1" applyBorder="1" applyAlignment="1">
      <alignment horizontal="center" vertical="center" wrapText="1"/>
    </xf>
    <xf numFmtId="166" fontId="10" fillId="6" borderId="4" xfId="0" applyNumberFormat="1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168" fontId="10" fillId="4" borderId="4" xfId="0" applyNumberFormat="1" applyFont="1" applyFill="1" applyBorder="1" applyAlignment="1">
      <alignment horizontal="center" vertical="center" wrapText="1"/>
    </xf>
    <xf numFmtId="165" fontId="10" fillId="4" borderId="4" xfId="0" applyNumberFormat="1" applyFont="1" applyFill="1" applyBorder="1" applyAlignment="1">
      <alignment horizontal="center" vertical="center" wrapText="1"/>
    </xf>
    <xf numFmtId="166" fontId="10" fillId="4" borderId="4" xfId="0" applyNumberFormat="1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7" fillId="5" borderId="4" xfId="0" applyFont="1" applyFill="1" applyBorder="1" applyAlignment="1">
      <alignment horizontal="center" vertical="center" wrapText="1"/>
    </xf>
    <xf numFmtId="168" fontId="10" fillId="0" borderId="4" xfId="0" applyNumberFormat="1" applyFont="1" applyBorder="1" applyAlignment="1">
      <alignment horizontal="center" vertical="center" wrapText="1"/>
    </xf>
    <xf numFmtId="165" fontId="17" fillId="5" borderId="4" xfId="0" applyNumberFormat="1" applyFont="1" applyFill="1" applyBorder="1" applyAlignment="1">
      <alignment horizontal="center" vertical="center" wrapText="1"/>
    </xf>
    <xf numFmtId="166" fontId="17" fillId="5" borderId="4" xfId="0" applyNumberFormat="1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left" vertical="center"/>
    </xf>
    <xf numFmtId="165" fontId="15" fillId="6" borderId="4" xfId="0" applyNumberFormat="1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left" vertical="center"/>
    </xf>
    <xf numFmtId="165" fontId="15" fillId="4" borderId="4" xfId="0" applyNumberFormat="1" applyFont="1" applyFill="1" applyBorder="1" applyAlignment="1">
      <alignment horizontal="center" vertical="center" wrapText="1"/>
    </xf>
    <xf numFmtId="165" fontId="5" fillId="14" borderId="4" xfId="0" applyNumberFormat="1" applyFont="1" applyFill="1" applyBorder="1" applyAlignment="1">
      <alignment horizontal="center" vertical="center" wrapText="1"/>
    </xf>
    <xf numFmtId="0" fontId="10" fillId="14" borderId="4" xfId="0" applyFont="1" applyFill="1" applyBorder="1" applyAlignment="1"/>
    <xf numFmtId="165" fontId="15" fillId="14" borderId="4" xfId="0" applyNumberFormat="1" applyFont="1" applyFill="1" applyBorder="1" applyAlignment="1">
      <alignment horizontal="center" vertical="center" wrapText="1"/>
    </xf>
    <xf numFmtId="165" fontId="3" fillId="5" borderId="4" xfId="0" applyNumberFormat="1" applyFont="1" applyFill="1" applyBorder="1" applyAlignment="1">
      <alignment horizontal="center" vertical="center" wrapText="1"/>
    </xf>
    <xf numFmtId="0" fontId="10" fillId="5" borderId="4" xfId="0" applyFont="1" applyFill="1" applyBorder="1" applyAlignment="1"/>
    <xf numFmtId="0" fontId="7" fillId="16" borderId="4" xfId="0" applyFont="1" applyFill="1" applyBorder="1" applyAlignment="1">
      <alignment horizontal="center" vertical="center" wrapText="1"/>
    </xf>
    <xf numFmtId="0" fontId="14" fillId="8" borderId="4" xfId="0" applyFont="1" applyFill="1" applyBorder="1" applyAlignment="1">
      <alignment horizontal="center" vertical="center" wrapText="1"/>
    </xf>
    <xf numFmtId="0" fontId="14" fillId="8" borderId="4" xfId="0" applyFont="1" applyFill="1" applyBorder="1" applyAlignment="1">
      <alignment horizontal="left" vertical="center"/>
    </xf>
    <xf numFmtId="165" fontId="15" fillId="8" borderId="4" xfId="0" applyNumberFormat="1" applyFont="1" applyFill="1" applyBorder="1" applyAlignment="1">
      <alignment horizontal="center" vertical="center" wrapText="1"/>
    </xf>
    <xf numFmtId="0" fontId="14" fillId="17" borderId="4" xfId="0" applyFont="1" applyFill="1" applyBorder="1" applyAlignment="1">
      <alignment horizontal="center" vertical="center" wrapText="1"/>
    </xf>
    <xf numFmtId="0" fontId="14" fillId="17" borderId="4" xfId="0" applyFont="1" applyFill="1" applyBorder="1" applyAlignment="1">
      <alignment horizontal="left" vertical="center"/>
    </xf>
    <xf numFmtId="165" fontId="15" fillId="17" borderId="4" xfId="0" applyNumberFormat="1" applyFont="1" applyFill="1" applyBorder="1" applyAlignment="1">
      <alignment horizontal="center" vertical="center" wrapText="1"/>
    </xf>
    <xf numFmtId="0" fontId="10" fillId="17" borderId="4" xfId="0" applyFont="1" applyFill="1" applyBorder="1" applyAlignment="1">
      <alignment horizontal="center" vertical="center" wrapText="1"/>
    </xf>
    <xf numFmtId="165" fontId="10" fillId="17" borderId="4" xfId="0" applyNumberFormat="1" applyFont="1" applyFill="1" applyBorder="1" applyAlignment="1">
      <alignment horizontal="center" vertical="center" wrapText="1"/>
    </xf>
    <xf numFmtId="165" fontId="12" fillId="8" borderId="4" xfId="0" applyNumberFormat="1" applyFont="1" applyFill="1" applyBorder="1" applyAlignment="1">
      <alignment horizontal="center" vertical="center" wrapText="1"/>
    </xf>
    <xf numFmtId="0" fontId="10" fillId="6" borderId="4" xfId="0" applyFont="1" applyFill="1" applyBorder="1" applyAlignment="1"/>
    <xf numFmtId="12" fontId="10" fillId="0" borderId="0" xfId="0" applyNumberFormat="1" applyFont="1" applyAlignment="1"/>
    <xf numFmtId="12" fontId="7" fillId="13" borderId="4" xfId="0" applyNumberFormat="1" applyFont="1" applyFill="1" applyBorder="1" applyAlignment="1">
      <alignment horizontal="center" vertical="center" wrapText="1"/>
    </xf>
    <xf numFmtId="164" fontId="14" fillId="6" borderId="4" xfId="0" applyNumberFormat="1" applyFont="1" applyFill="1" applyBorder="1" applyAlignment="1">
      <alignment horizontal="center" vertical="center" wrapText="1"/>
    </xf>
    <xf numFmtId="12" fontId="14" fillId="6" borderId="4" xfId="0" applyNumberFormat="1" applyFont="1" applyFill="1" applyBorder="1" applyAlignment="1">
      <alignment horizontal="center" vertical="center" wrapText="1"/>
    </xf>
    <xf numFmtId="12" fontId="14" fillId="4" borderId="4" xfId="0" applyNumberFormat="1" applyFont="1" applyFill="1" applyBorder="1" applyAlignment="1">
      <alignment horizontal="center" vertical="center" wrapText="1"/>
    </xf>
    <xf numFmtId="12" fontId="10" fillId="4" borderId="4" xfId="0" applyNumberFormat="1" applyFont="1" applyFill="1" applyBorder="1" applyAlignment="1">
      <alignment horizontal="center" vertical="center" wrapText="1"/>
    </xf>
    <xf numFmtId="12" fontId="7" fillId="16" borderId="4" xfId="0" applyNumberFormat="1" applyFont="1" applyFill="1" applyBorder="1" applyAlignment="1">
      <alignment horizontal="center" vertical="center" wrapText="1"/>
    </xf>
    <xf numFmtId="12" fontId="14" fillId="8" borderId="4" xfId="0" applyNumberFormat="1" applyFont="1" applyFill="1" applyBorder="1" applyAlignment="1">
      <alignment horizontal="center" vertical="center" wrapText="1"/>
    </xf>
    <xf numFmtId="12" fontId="14" fillId="17" borderId="4" xfId="0" applyNumberFormat="1" applyFont="1" applyFill="1" applyBorder="1" applyAlignment="1">
      <alignment horizontal="center" vertical="center" wrapText="1"/>
    </xf>
    <xf numFmtId="12" fontId="10" fillId="17" borderId="4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24" fillId="0" borderId="0" xfId="0" applyFont="1" applyAlignment="1"/>
    <xf numFmtId="0" fontId="25" fillId="13" borderId="4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/>
    </xf>
    <xf numFmtId="168" fontId="14" fillId="6" borderId="4" xfId="0" applyNumberFormat="1" applyFont="1" applyFill="1" applyBorder="1" applyAlignment="1">
      <alignment horizontal="center" vertical="center" wrapText="1"/>
    </xf>
    <xf numFmtId="165" fontId="26" fillId="6" borderId="4" xfId="0" applyNumberFormat="1" applyFont="1" applyFill="1" applyBorder="1" applyAlignment="1">
      <alignment horizontal="center" vertical="center" wrapText="1"/>
    </xf>
    <xf numFmtId="164" fontId="14" fillId="4" borderId="4" xfId="0" applyNumberFormat="1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165" fontId="26" fillId="4" borderId="4" xfId="0" applyNumberFormat="1" applyFont="1" applyFill="1" applyBorder="1" applyAlignment="1">
      <alignment horizontal="center" vertical="center" wrapText="1"/>
    </xf>
    <xf numFmtId="165" fontId="10" fillId="18" borderId="5" xfId="0" applyNumberFormat="1" applyFont="1" applyFill="1" applyBorder="1" applyAlignment="1"/>
    <xf numFmtId="165" fontId="26" fillId="6" borderId="9" xfId="0" applyNumberFormat="1" applyFont="1" applyFill="1" applyBorder="1" applyAlignment="1">
      <alignment horizontal="center" vertical="center" wrapText="1"/>
    </xf>
    <xf numFmtId="165" fontId="26" fillId="6" borderId="10" xfId="0" applyNumberFormat="1" applyFont="1" applyFill="1" applyBorder="1" applyAlignment="1">
      <alignment horizontal="center" vertical="center" wrapText="1"/>
    </xf>
    <xf numFmtId="165" fontId="10" fillId="0" borderId="0" xfId="0" applyNumberFormat="1" applyFont="1" applyAlignment="1"/>
    <xf numFmtId="165" fontId="26" fillId="14" borderId="4" xfId="0" applyNumberFormat="1" applyFont="1" applyFill="1" applyBorder="1" applyAlignment="1">
      <alignment horizontal="center" vertical="center" wrapText="1"/>
    </xf>
    <xf numFmtId="165" fontId="27" fillId="5" borderId="4" xfId="0" applyNumberFormat="1" applyFont="1" applyFill="1" applyBorder="1" applyAlignment="1">
      <alignment horizontal="center" vertical="center" wrapText="1"/>
    </xf>
    <xf numFmtId="0" fontId="22" fillId="16" borderId="4" xfId="0" applyFont="1" applyFill="1" applyBorder="1" applyAlignment="1">
      <alignment horizontal="center" vertical="center" wrapText="1"/>
    </xf>
    <xf numFmtId="0" fontId="14" fillId="8" borderId="4" xfId="0" applyFont="1" applyFill="1" applyBorder="1" applyAlignment="1">
      <alignment horizontal="center" vertical="center"/>
    </xf>
    <xf numFmtId="165" fontId="26" fillId="8" borderId="4" xfId="0" applyNumberFormat="1" applyFont="1" applyFill="1" applyBorder="1" applyAlignment="1">
      <alignment horizontal="center" vertical="center" wrapText="1"/>
    </xf>
    <xf numFmtId="0" fontId="14" fillId="17" borderId="4" xfId="0" applyFont="1" applyFill="1" applyBorder="1" applyAlignment="1">
      <alignment horizontal="center" vertical="center"/>
    </xf>
    <xf numFmtId="165" fontId="26" fillId="17" borderId="4" xfId="0" applyNumberFormat="1" applyFont="1" applyFill="1" applyBorder="1" applyAlignment="1">
      <alignment horizontal="center" vertical="center" wrapText="1"/>
    </xf>
    <xf numFmtId="165" fontId="27" fillId="17" borderId="4" xfId="0" applyNumberFormat="1" applyFont="1" applyFill="1" applyBorder="1" applyAlignment="1">
      <alignment horizontal="center" vertical="center" wrapText="1"/>
    </xf>
    <xf numFmtId="165" fontId="24" fillId="17" borderId="4" xfId="0" applyNumberFormat="1" applyFont="1" applyFill="1" applyBorder="1" applyAlignment="1">
      <alignment horizontal="center" vertical="center" wrapText="1"/>
    </xf>
    <xf numFmtId="0" fontId="28" fillId="0" borderId="0" xfId="0" applyFont="1" applyAlignment="1"/>
    <xf numFmtId="169" fontId="10" fillId="0" borderId="0" xfId="0" applyNumberFormat="1" applyFont="1" applyAlignment="1"/>
    <xf numFmtId="169" fontId="7" fillId="13" borderId="4" xfId="0" applyNumberFormat="1" applyFont="1" applyFill="1" applyBorder="1" applyAlignment="1">
      <alignment horizontal="center" vertical="center" wrapText="1"/>
    </xf>
    <xf numFmtId="169" fontId="5" fillId="14" borderId="4" xfId="0" applyNumberFormat="1" applyFont="1" applyFill="1" applyBorder="1" applyAlignment="1">
      <alignment horizontal="center" vertical="center" wrapText="1"/>
    </xf>
    <xf numFmtId="169" fontId="15" fillId="14" borderId="4" xfId="0" applyNumberFormat="1" applyFont="1" applyFill="1" applyBorder="1" applyAlignment="1">
      <alignment horizontal="center" vertical="center" wrapText="1"/>
    </xf>
    <xf numFmtId="169" fontId="3" fillId="5" borderId="4" xfId="0" applyNumberFormat="1" applyFont="1" applyFill="1" applyBorder="1" applyAlignment="1">
      <alignment horizontal="center" vertical="center" wrapText="1"/>
    </xf>
    <xf numFmtId="169" fontId="7" fillId="16" borderId="4" xfId="0" applyNumberFormat="1" applyFont="1" applyFill="1" applyBorder="1" applyAlignment="1">
      <alignment horizontal="center" vertical="center" wrapText="1"/>
    </xf>
    <xf numFmtId="169" fontId="15" fillId="8" borderId="4" xfId="0" applyNumberFormat="1" applyFont="1" applyFill="1" applyBorder="1" applyAlignment="1">
      <alignment horizontal="center" vertical="center" wrapText="1"/>
    </xf>
    <xf numFmtId="169" fontId="15" fillId="17" borderId="4" xfId="0" applyNumberFormat="1" applyFont="1" applyFill="1" applyBorder="1" applyAlignment="1">
      <alignment horizontal="center" vertical="center" wrapText="1"/>
    </xf>
    <xf numFmtId="169" fontId="10" fillId="17" borderId="4" xfId="0" applyNumberFormat="1" applyFont="1" applyFill="1" applyBorder="1" applyAlignment="1">
      <alignment horizontal="center" vertical="center" wrapText="1"/>
    </xf>
    <xf numFmtId="169" fontId="12" fillId="8" borderId="4" xfId="0" applyNumberFormat="1" applyFont="1" applyFill="1" applyBorder="1" applyAlignment="1">
      <alignment horizontal="center" vertical="center" wrapText="1"/>
    </xf>
    <xf numFmtId="165" fontId="14" fillId="0" borderId="0" xfId="0" applyNumberFormat="1" applyFont="1" applyAlignment="1"/>
    <xf numFmtId="165" fontId="14" fillId="6" borderId="4" xfId="0" applyNumberFormat="1" applyFont="1" applyFill="1" applyBorder="1" applyAlignment="1">
      <alignment horizontal="center" vertical="center" wrapText="1"/>
    </xf>
    <xf numFmtId="164" fontId="14" fillId="17" borderId="4" xfId="0" applyNumberFormat="1" applyFont="1" applyFill="1" applyBorder="1" applyAlignment="1">
      <alignment horizontal="center" vertical="center" wrapText="1"/>
    </xf>
    <xf numFmtId="164" fontId="10" fillId="17" borderId="4" xfId="0" applyNumberFormat="1" applyFont="1" applyFill="1" applyBorder="1" applyAlignment="1">
      <alignment horizontal="center" vertical="center" wrapText="1"/>
    </xf>
    <xf numFmtId="49" fontId="14" fillId="6" borderId="4" xfId="0" applyNumberFormat="1" applyFont="1" applyFill="1" applyBorder="1" applyAlignment="1">
      <alignment horizontal="center" vertical="center" wrapText="1"/>
    </xf>
    <xf numFmtId="165" fontId="14" fillId="4" borderId="4" xfId="0" applyNumberFormat="1" applyFont="1" applyFill="1" applyBorder="1" applyAlignment="1">
      <alignment horizontal="center" vertical="center" wrapText="1"/>
    </xf>
    <xf numFmtId="164" fontId="10" fillId="4" borderId="4" xfId="0" applyNumberFormat="1" applyFont="1" applyFill="1" applyBorder="1" applyAlignment="1">
      <alignment horizontal="center" vertical="center" wrapText="1"/>
    </xf>
    <xf numFmtId="165" fontId="15" fillId="0" borderId="0" xfId="0" applyNumberFormat="1" applyFont="1" applyAlignment="1"/>
    <xf numFmtId="0" fontId="29" fillId="0" borderId="0" xfId="0" applyFont="1" applyAlignment="1"/>
    <xf numFmtId="1" fontId="15" fillId="0" borderId="0" xfId="0" applyNumberFormat="1" applyFont="1" applyAlignment="1"/>
    <xf numFmtId="170" fontId="15" fillId="0" borderId="0" xfId="0" applyNumberFormat="1" applyFont="1" applyAlignment="1"/>
    <xf numFmtId="167" fontId="5" fillId="0" borderId="0" xfId="0" applyNumberFormat="1" applyFont="1" applyAlignment="1"/>
    <xf numFmtId="0" fontId="3" fillId="2" borderId="5" xfId="0" applyFont="1" applyFill="1" applyBorder="1" applyAlignment="1">
      <alignment horizontal="center"/>
    </xf>
    <xf numFmtId="1" fontId="10" fillId="0" borderId="0" xfId="0" applyNumberFormat="1" applyFont="1" applyAlignment="1">
      <alignment horizontal="center"/>
    </xf>
    <xf numFmtId="167" fontId="5" fillId="6" borderId="5" xfId="0" applyNumberFormat="1" applyFont="1" applyFill="1" applyBorder="1" applyAlignment="1"/>
    <xf numFmtId="165" fontId="5" fillId="19" borderId="5" xfId="0" applyNumberFormat="1" applyFont="1" applyFill="1" applyBorder="1" applyAlignment="1"/>
    <xf numFmtId="165" fontId="5" fillId="0" borderId="0" xfId="0" applyNumberFormat="1" applyFont="1" applyAlignment="1"/>
    <xf numFmtId="0" fontId="3" fillId="2" borderId="5" xfId="0" applyFont="1" applyFill="1" applyBorder="1" applyAlignment="1">
      <alignment horizontal="center" wrapText="1"/>
    </xf>
    <xf numFmtId="165" fontId="30" fillId="0" borderId="0" xfId="0" applyNumberFormat="1" applyFont="1" applyAlignment="1"/>
    <xf numFmtId="165" fontId="31" fillId="0" borderId="0" xfId="0" applyNumberFormat="1" applyFont="1" applyAlignment="1"/>
    <xf numFmtId="1" fontId="5" fillId="0" borderId="0" xfId="0" applyNumberFormat="1" applyFont="1" applyAlignment="1"/>
    <xf numFmtId="0" fontId="3" fillId="21" borderId="4" xfId="0" applyFont="1" applyFill="1" applyBorder="1" applyAlignment="1">
      <alignment horizontal="center" vertical="center" wrapText="1"/>
    </xf>
    <xf numFmtId="0" fontId="3" fillId="22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left" vertical="center"/>
    </xf>
    <xf numFmtId="0" fontId="14" fillId="8" borderId="4" xfId="0" applyFont="1" applyFill="1" applyBorder="1" applyAlignment="1">
      <alignment horizontal="left" vertical="center" wrapText="1"/>
    </xf>
    <xf numFmtId="0" fontId="14" fillId="9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left" vertical="center"/>
    </xf>
    <xf numFmtId="0" fontId="14" fillId="9" borderId="4" xfId="0" applyFont="1" applyFill="1" applyBorder="1" applyAlignment="1">
      <alignment horizontal="left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left" vertical="center"/>
    </xf>
    <xf numFmtId="0" fontId="14" fillId="10" borderId="4" xfId="0" applyFont="1" applyFill="1" applyBorder="1" applyAlignment="1">
      <alignment horizontal="left" vertical="center" wrapText="1"/>
    </xf>
    <xf numFmtId="0" fontId="14" fillId="4" borderId="4" xfId="0" applyFont="1" applyFill="1" applyBorder="1" applyAlignment="1">
      <alignment horizontal="left" vertical="center" wrapText="1"/>
    </xf>
    <xf numFmtId="0" fontId="5" fillId="17" borderId="4" xfId="0" applyFont="1" applyFill="1" applyBorder="1" applyAlignment="1">
      <alignment horizontal="left" vertical="center"/>
    </xf>
    <xf numFmtId="0" fontId="14" fillId="17" borderId="4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0" fillId="0" borderId="0" xfId="0" applyFont="1" applyAlignment="1"/>
    <xf numFmtId="14" fontId="15" fillId="6" borderId="4" xfId="0" applyNumberFormat="1" applyFont="1" applyFill="1" applyBorder="1" applyAlignment="1">
      <alignment horizontal="center" vertical="center" wrapText="1"/>
    </xf>
    <xf numFmtId="14" fontId="15" fillId="4" borderId="4" xfId="0" applyNumberFormat="1" applyFont="1" applyFill="1" applyBorder="1" applyAlignment="1">
      <alignment horizontal="center" vertical="center" wrapText="1"/>
    </xf>
    <xf numFmtId="0" fontId="0" fillId="0" borderId="0" xfId="0" applyFont="1" applyAlignment="1"/>
    <xf numFmtId="165" fontId="0" fillId="0" borderId="0" xfId="0" applyNumberFormat="1" applyFont="1" applyAlignment="1"/>
    <xf numFmtId="17" fontId="14" fillId="8" borderId="4" xfId="0" applyNumberFormat="1" applyFont="1" applyFill="1" applyBorder="1" applyAlignment="1">
      <alignment horizontal="center" vertical="center" wrapText="1"/>
    </xf>
    <xf numFmtId="17" fontId="14" fillId="17" borderId="4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3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left" vertical="center"/>
    </xf>
    <xf numFmtId="0" fontId="2" fillId="0" borderId="7" xfId="0" applyFont="1" applyBorder="1"/>
    <xf numFmtId="0" fontId="2" fillId="0" borderId="8" xfId="0" applyFont="1" applyBorder="1"/>
    <xf numFmtId="165" fontId="19" fillId="9" borderId="1" xfId="0" applyNumberFormat="1" applyFont="1" applyFill="1" applyBorder="1" applyAlignment="1">
      <alignment horizontal="center" vertical="center" wrapText="1"/>
    </xf>
    <xf numFmtId="0" fontId="5" fillId="14" borderId="6" xfId="0" applyFont="1" applyFill="1" applyBorder="1" applyAlignment="1">
      <alignment horizontal="right" vertical="center"/>
    </xf>
    <xf numFmtId="0" fontId="15" fillId="14" borderId="6" xfId="0" applyFont="1" applyFill="1" applyBorder="1" applyAlignment="1">
      <alignment horizontal="right" vertical="center"/>
    </xf>
    <xf numFmtId="0" fontId="3" fillId="5" borderId="6" xfId="0" applyFont="1" applyFill="1" applyBorder="1" applyAlignment="1">
      <alignment horizontal="right" vertical="center"/>
    </xf>
    <xf numFmtId="0" fontId="17" fillId="15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5" fontId="20" fillId="10" borderId="1" xfId="0" applyNumberFormat="1" applyFont="1" applyFill="1" applyBorder="1" applyAlignment="1">
      <alignment horizontal="center" vertical="center" wrapText="1"/>
    </xf>
    <xf numFmtId="166" fontId="21" fillId="11" borderId="1" xfId="0" applyNumberFormat="1" applyFont="1" applyFill="1" applyBorder="1" applyAlignment="1">
      <alignment horizontal="center" vertical="center" wrapText="1"/>
    </xf>
    <xf numFmtId="165" fontId="18" fillId="8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65" fontId="23" fillId="10" borderId="1" xfId="0" applyNumberFormat="1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/>
    <xf numFmtId="0" fontId="5" fillId="19" borderId="1" xfId="0" applyFont="1" applyFill="1" applyBorder="1" applyAlignment="1"/>
    <xf numFmtId="0" fontId="14" fillId="0" borderId="0" xfId="0" applyFont="1" applyAlignment="1"/>
    <xf numFmtId="0" fontId="0" fillId="0" borderId="0" xfId="0" applyFont="1" applyAlignment="1"/>
    <xf numFmtId="0" fontId="29" fillId="0" borderId="0" xfId="0" applyFont="1" applyAlignment="1"/>
    <xf numFmtId="0" fontId="13" fillId="5" borderId="1" xfId="0" applyFont="1" applyFill="1" applyBorder="1" applyAlignment="1"/>
    <xf numFmtId="0" fontId="13" fillId="20" borderId="1" xfId="0" applyFont="1" applyFill="1" applyBorder="1" applyAlignment="1">
      <alignment horizontal="center" vertical="center" wrapText="1"/>
    </xf>
    <xf numFmtId="0" fontId="13" fillId="2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P1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2578125" defaultRowHeight="15" customHeight="1" x14ac:dyDescent="0.25"/>
  <cols>
    <col min="1" max="1" width="27.140625" customWidth="1"/>
    <col min="2" max="14" width="13" customWidth="1"/>
    <col min="15" max="15" width="16" customWidth="1"/>
    <col min="16" max="16" width="8.7109375" customWidth="1"/>
  </cols>
  <sheetData>
    <row r="1" spans="1:16" ht="30" customHeight="1" x14ac:dyDescent="0.25">
      <c r="A1" s="145" t="s">
        <v>0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7"/>
    </row>
    <row r="2" spans="1:16" ht="15" customHeight="1" x14ac:dyDescent="0.25">
      <c r="A2" s="1" t="s">
        <v>1</v>
      </c>
      <c r="B2" s="2">
        <v>46174</v>
      </c>
      <c r="C2" s="2">
        <v>46204</v>
      </c>
      <c r="D2" s="2">
        <v>46235</v>
      </c>
      <c r="E2" s="2">
        <v>46266</v>
      </c>
      <c r="F2" s="2">
        <v>46296</v>
      </c>
      <c r="G2" s="2">
        <v>46327</v>
      </c>
      <c r="H2" s="2">
        <v>46357</v>
      </c>
      <c r="I2" s="2">
        <v>46388</v>
      </c>
      <c r="J2" s="2">
        <v>46419</v>
      </c>
      <c r="K2" s="2">
        <v>46447</v>
      </c>
      <c r="L2" s="2">
        <v>46478</v>
      </c>
      <c r="M2" s="2">
        <v>46508</v>
      </c>
      <c r="N2" s="2">
        <v>46539</v>
      </c>
      <c r="O2" s="1" t="s">
        <v>2</v>
      </c>
      <c r="P2" s="3"/>
    </row>
    <row r="3" spans="1:16" ht="15" customHeight="1" x14ac:dyDescent="0.25">
      <c r="A3" s="4" t="s">
        <v>3</v>
      </c>
      <c r="B3" s="5">
        <f>'jun-26'!E29</f>
        <v>4525</v>
      </c>
      <c r="C3" s="5">
        <f>'Jul-26'!E30</f>
        <v>4525</v>
      </c>
      <c r="D3" s="5">
        <f>'ago-26'!E33</f>
        <v>5070</v>
      </c>
      <c r="E3" s="5">
        <f>'set-26'!E34</f>
        <v>5070</v>
      </c>
      <c r="F3" s="5">
        <f>'Out-26'!E33</f>
        <v>5080</v>
      </c>
      <c r="G3" s="5">
        <f>'Nov-26'!E33</f>
        <v>6904</v>
      </c>
      <c r="H3" s="5">
        <f>'dez -26'!E33</f>
        <v>6914</v>
      </c>
      <c r="I3" s="5">
        <f>'Jan-27'!E28</f>
        <v>5000</v>
      </c>
      <c r="J3" s="5">
        <f>'Fev-27'!E29</f>
        <v>5000</v>
      </c>
      <c r="K3" s="5">
        <f>'Mar-27'!E27</f>
        <v>5125</v>
      </c>
      <c r="L3" s="5">
        <f>'Abr-27'!E29</f>
        <v>4275</v>
      </c>
      <c r="M3" s="5">
        <f>'Mai-27'!E29</f>
        <v>4275</v>
      </c>
      <c r="N3" s="5">
        <f>'Jun-27'!E29</f>
        <v>4275</v>
      </c>
      <c r="O3" s="6">
        <f t="shared" ref="O3:O5" si="0">SUM(B3:N3)</f>
        <v>66038</v>
      </c>
      <c r="P3" s="3"/>
    </row>
    <row r="4" spans="1:16" ht="15" customHeight="1" x14ac:dyDescent="0.25">
      <c r="A4" s="7" t="s">
        <v>4</v>
      </c>
      <c r="B4" s="8">
        <f>'jun-26'!E19</f>
        <v>2520</v>
      </c>
      <c r="C4" s="8">
        <f>'Jul-26'!E20</f>
        <v>2665</v>
      </c>
      <c r="D4" s="8">
        <v>20</v>
      </c>
      <c r="E4" s="8">
        <f>'set-26'!E24</f>
        <v>2768</v>
      </c>
      <c r="F4" s="8">
        <f>'Out-26'!E23</f>
        <v>2007</v>
      </c>
      <c r="G4" s="8">
        <f>'Nov-26'!E23</f>
        <v>1696</v>
      </c>
      <c r="H4" s="8">
        <f>'dez -26'!E23</f>
        <v>1848</v>
      </c>
      <c r="I4" s="8">
        <f>'Jan-27'!E18</f>
        <v>1111</v>
      </c>
      <c r="J4" s="8">
        <f>'Fev-27'!E19</f>
        <v>1084</v>
      </c>
      <c r="K4" s="8">
        <f>'Mar-27'!E17</f>
        <v>1084</v>
      </c>
      <c r="L4" s="8">
        <f>'Abr-27'!E19</f>
        <v>3080</v>
      </c>
      <c r="M4" s="8">
        <f>'Mai-27'!E19</f>
        <v>3080</v>
      </c>
      <c r="N4" s="8">
        <f>'Jun-27'!E19</f>
        <v>3080</v>
      </c>
      <c r="O4" s="6">
        <f t="shared" si="0"/>
        <v>26043</v>
      </c>
      <c r="P4" s="3"/>
    </row>
    <row r="5" spans="1:16" ht="15" customHeight="1" x14ac:dyDescent="0.25">
      <c r="A5" s="4" t="s">
        <v>5</v>
      </c>
      <c r="B5" s="9">
        <f>'jun-26'!E29-'jun-26'!E19</f>
        <v>2005</v>
      </c>
      <c r="C5" s="9">
        <f>'Jul-26'!E30-'Jul-26'!E20</f>
        <v>1860</v>
      </c>
      <c r="D5" s="9">
        <f>'ago-26'!E33-'ago-26'!E23</f>
        <v>1934.8000000000002</v>
      </c>
      <c r="E5" s="9">
        <f>'set-26'!E34-'set-26'!E24</f>
        <v>2302</v>
      </c>
      <c r="F5" s="9">
        <f>'Out-26'!E33-'Out-26'!E23</f>
        <v>3073</v>
      </c>
      <c r="G5" s="9">
        <f>'Nov-26'!E33-'Nov-26'!E23</f>
        <v>5208</v>
      </c>
      <c r="H5" s="9">
        <f>'dez -26'!E33-'dez -26'!E23</f>
        <v>5066</v>
      </c>
      <c r="I5" s="9">
        <f>'Jan-27'!E28-'Jan-27'!E18</f>
        <v>3889</v>
      </c>
      <c r="J5" s="9">
        <f>'Fev-27'!E29-'Fev-27'!E19</f>
        <v>3916</v>
      </c>
      <c r="K5" s="9">
        <f>'Mar-27'!E27-'Mar-27'!E17</f>
        <v>4041</v>
      </c>
      <c r="L5" s="9">
        <f>'Abr-27'!E29-'Abr-27'!E19</f>
        <v>1195</v>
      </c>
      <c r="M5" s="9">
        <f>'Mai-27'!E29-'Mai-27'!E19</f>
        <v>1195</v>
      </c>
      <c r="N5" s="9">
        <f>'Jun-27'!E29-'Jun-27'!E19</f>
        <v>1195</v>
      </c>
      <c r="O5" s="6">
        <f t="shared" si="0"/>
        <v>36879.800000000003</v>
      </c>
      <c r="P5" s="3"/>
    </row>
    <row r="6" spans="1:16" ht="15" customHeight="1" x14ac:dyDescent="0.25">
      <c r="A6" s="1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3"/>
    </row>
    <row r="7" spans="1:16" ht="15" customHeight="1" x14ac:dyDescent="0.25">
      <c r="A7" s="4" t="s">
        <v>6</v>
      </c>
      <c r="B7" s="12">
        <f>'jun-26'!E29</f>
        <v>4525</v>
      </c>
      <c r="C7" s="12">
        <f>'Jul-26'!E30</f>
        <v>4525</v>
      </c>
      <c r="D7" s="12">
        <f>'ago-26'!E33</f>
        <v>5070</v>
      </c>
      <c r="E7" s="12">
        <f>'set-26'!E34</f>
        <v>5070</v>
      </c>
      <c r="F7" s="12">
        <f>'Out-26'!E33</f>
        <v>5080</v>
      </c>
      <c r="G7" s="12">
        <f>'Nov-26'!E33</f>
        <v>6904</v>
      </c>
      <c r="H7" s="12">
        <f>'dez -26'!E33</f>
        <v>6914</v>
      </c>
      <c r="I7" s="12">
        <f>'Jan-27'!E28</f>
        <v>5000</v>
      </c>
      <c r="J7" s="12">
        <f>'Fev-27'!E29</f>
        <v>5000</v>
      </c>
      <c r="K7" s="12">
        <f>'Mar-27'!E27</f>
        <v>5125</v>
      </c>
      <c r="L7" s="12">
        <f>'Abr-27'!E29</f>
        <v>4275</v>
      </c>
      <c r="M7" s="12">
        <f>'Mai-27'!E29</f>
        <v>4275</v>
      </c>
      <c r="N7" s="12">
        <f>'Jun-27'!E29</f>
        <v>4275</v>
      </c>
      <c r="O7" s="6">
        <f t="shared" ref="O7:O8" si="1">SUM(B7:N7)</f>
        <v>66038</v>
      </c>
      <c r="P7" s="3"/>
    </row>
    <row r="8" spans="1:16" ht="15" customHeight="1" x14ac:dyDescent="0.25">
      <c r="A8" s="7" t="s">
        <v>7</v>
      </c>
      <c r="B8" s="13">
        <f>'jun-26'!E19</f>
        <v>2520</v>
      </c>
      <c r="C8" s="13">
        <f>'Jul-26'!E20</f>
        <v>2665</v>
      </c>
      <c r="D8" s="13">
        <f>'ago-26'!E23</f>
        <v>3135.2</v>
      </c>
      <c r="E8" s="13">
        <f>'set-26'!E24</f>
        <v>2768</v>
      </c>
      <c r="F8" s="13">
        <f>'Out-26'!E23</f>
        <v>2007</v>
      </c>
      <c r="G8" s="13">
        <f>'Nov-26'!E23</f>
        <v>1696</v>
      </c>
      <c r="H8" s="13">
        <f>'dez -26'!E23</f>
        <v>1848</v>
      </c>
      <c r="I8" s="13">
        <f>'Jan-27'!E18</f>
        <v>1111</v>
      </c>
      <c r="J8" s="13">
        <f>'Fev-27'!E19</f>
        <v>1084</v>
      </c>
      <c r="K8" s="13">
        <f>'Mar-27'!E17</f>
        <v>1084</v>
      </c>
      <c r="L8" s="13">
        <f>'Abr-27'!E19</f>
        <v>3080</v>
      </c>
      <c r="M8" s="13">
        <f>'Mai-27'!E19</f>
        <v>3080</v>
      </c>
      <c r="N8" s="13">
        <f>'Jun-27'!E19</f>
        <v>3080</v>
      </c>
      <c r="O8" s="6">
        <f t="shared" si="1"/>
        <v>29158.2</v>
      </c>
      <c r="P8" s="3"/>
    </row>
    <row r="9" spans="1:16" ht="15" customHeight="1" x14ac:dyDescent="0.25">
      <c r="A9" s="14" t="s">
        <v>8</v>
      </c>
      <c r="B9" s="15">
        <f>IF('jun-26'!E29&gt;0,('jun-26'!E29-'jun-26'!E19)/'jun-26'!E29,0)</f>
        <v>0.4430939226519337</v>
      </c>
      <c r="C9" s="15">
        <f>IF('Jul-26'!E30&gt;0,('Jul-26'!E30-'Jul-26'!E20)/'Jul-26'!E30,0)</f>
        <v>0.41104972375690607</v>
      </c>
      <c r="D9" s="15">
        <f>IF('ago-26'!E33&gt;0,('ago-26'!E33-'ago-26'!E23)/'ago-26'!E33,0)</f>
        <v>0.38161735700197241</v>
      </c>
      <c r="E9" s="15">
        <f>IF('set-26'!E34&gt;0,('set-26'!E34-'set-26'!E24)/'set-26'!E34,0)</f>
        <v>0.45404339250493098</v>
      </c>
      <c r="F9" s="15">
        <f>IF('Out-26'!E33&gt;0,('Out-26'!E33-'Out-26'!E23)/'Out-26'!E33,0)</f>
        <v>0.60492125984251965</v>
      </c>
      <c r="G9" s="15">
        <f>IF('Nov-26'!E33&gt;0,('Nov-26'!E33-'Nov-26'!E23)/'Nov-26'!E33,0)</f>
        <v>0.75434530706836611</v>
      </c>
      <c r="H9" s="15">
        <f>IF('dez -26'!E33&gt;0,('dez -26'!E33-'dez -26'!E23)/'dez -26'!E33,0)</f>
        <v>0.73271622794330349</v>
      </c>
      <c r="I9" s="15">
        <f>IF('Jan-27'!E28&gt;0,('Jan-27'!E28-'Jan-27'!E18)/'Jan-27'!E28,0)</f>
        <v>0.77780000000000005</v>
      </c>
      <c r="J9" s="15">
        <f>IF('Fev-27'!E29&gt;0,('Fev-27'!E29-'Fev-27'!E19)/'Fev-27'!E29,0)</f>
        <v>0.78320000000000001</v>
      </c>
      <c r="K9" s="15">
        <f>IF('Mar-27'!E27&gt;0,('Mar-27'!E27-'Mar-27'!E17)/'Mar-27'!E27,0)</f>
        <v>0.78848780487804881</v>
      </c>
      <c r="L9" s="15">
        <f>IF('Abr-27'!E29&gt;0,('Abr-27'!E29-'Abr-27'!E19)/'Abr-27'!E29,0)</f>
        <v>0.27953216374269008</v>
      </c>
      <c r="M9" s="15">
        <f>IF('Mai-27'!E29&gt;0,('Mai-27'!E29-'Mai-27'!E19)/'Mai-27'!E29,0)</f>
        <v>0.27953216374269008</v>
      </c>
      <c r="N9" s="15">
        <f>IF('Jun-27'!E29&gt;0,('Jun-27'!E29-'Jun-27'!E19)/'Jun-27'!E29,0)</f>
        <v>0.27953216374269008</v>
      </c>
      <c r="O9" s="16">
        <f>AVERAGE(B9:N9)</f>
        <v>0.5361439605289271</v>
      </c>
      <c r="P9" s="3"/>
    </row>
    <row r="10" spans="1:16" ht="14.25" customHeight="1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3"/>
    </row>
    <row r="11" spans="1:16" ht="14.25" customHeight="1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3"/>
    </row>
    <row r="12" spans="1:16" ht="14.25" customHeight="1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3"/>
    </row>
    <row r="13" spans="1:16" ht="14.25" customHeight="1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3"/>
    </row>
    <row r="14" spans="1:16" ht="14.25" customHeight="1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3"/>
    </row>
    <row r="15" spans="1:16" ht="14.25" customHeight="1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3"/>
    </row>
    <row r="16" spans="1:16" ht="14.25" customHeight="1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3"/>
    </row>
    <row r="17" spans="1:16" ht="14.25" customHeight="1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3"/>
    </row>
    <row r="18" spans="1:16" ht="14.25" customHeight="1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3"/>
    </row>
    <row r="19" spans="1:16" ht="14.25" customHeight="1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3"/>
    </row>
    <row r="20" spans="1:16" ht="14.25" customHeight="1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3"/>
    </row>
    <row r="21" spans="1:16" ht="15.75" customHeight="1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3"/>
    </row>
    <row r="22" spans="1:16" ht="15.75" customHeight="1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3"/>
    </row>
    <row r="23" spans="1:16" ht="15.75" customHeight="1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3"/>
    </row>
    <row r="24" spans="1:16" ht="15.75" customHeight="1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3"/>
    </row>
    <row r="25" spans="1:16" ht="15.75" customHeight="1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3"/>
    </row>
    <row r="26" spans="1:16" ht="15.75" customHeight="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3"/>
    </row>
    <row r="27" spans="1:16" ht="15.75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3"/>
    </row>
    <row r="28" spans="1:16" ht="15.75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3"/>
    </row>
    <row r="29" spans="1:16" ht="15.75" customHeight="1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3"/>
    </row>
    <row r="30" spans="1:16" ht="15.75" customHeight="1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3"/>
    </row>
    <row r="31" spans="1:16" ht="15.75" customHeight="1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3"/>
    </row>
    <row r="32" spans="1:16" ht="15.75" customHeight="1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3"/>
    </row>
    <row r="33" spans="1:16" ht="15.75" customHeight="1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3"/>
    </row>
    <row r="34" spans="1:16" ht="15.75" customHeight="1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3"/>
    </row>
    <row r="35" spans="1:16" ht="15.75" customHeight="1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3"/>
    </row>
    <row r="36" spans="1:16" ht="15.75" customHeight="1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3"/>
    </row>
    <row r="37" spans="1:16" ht="15.75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3"/>
    </row>
    <row r="38" spans="1:16" ht="15.75" customHeight="1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3"/>
    </row>
    <row r="39" spans="1:16" ht="15.75" customHeight="1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"/>
    </row>
    <row r="40" spans="1:16" ht="15.75" customHeight="1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"/>
    </row>
    <row r="41" spans="1:16" ht="15.75" customHeight="1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3"/>
    </row>
    <row r="42" spans="1:16" ht="15.75" customHeight="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3"/>
    </row>
    <row r="43" spans="1:16" ht="15.75" customHeight="1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3"/>
    </row>
    <row r="44" spans="1:16" ht="15.75" customHeight="1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3"/>
    </row>
    <row r="45" spans="1:16" ht="15.75" customHeight="1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3"/>
    </row>
    <row r="46" spans="1:16" ht="15.75" customHeight="1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3"/>
    </row>
    <row r="47" spans="1:16" ht="15.75" customHeight="1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3"/>
    </row>
    <row r="48" spans="1:16" ht="15.75" customHeight="1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3"/>
    </row>
    <row r="49" spans="1:16" ht="15.75" customHeight="1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3"/>
    </row>
    <row r="50" spans="1:16" ht="15.75" customHeight="1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3"/>
    </row>
    <row r="51" spans="1:16" ht="15.75" customHeight="1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3"/>
    </row>
    <row r="52" spans="1:16" ht="15.75" customHeight="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3"/>
    </row>
    <row r="53" spans="1:16" ht="15.75" customHeigh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3"/>
    </row>
    <row r="54" spans="1:16" ht="15.75" customHeigh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3"/>
    </row>
    <row r="55" spans="1:16" ht="15.75" customHeigh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3"/>
    </row>
    <row r="56" spans="1:16" ht="15.75" customHeight="1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3"/>
    </row>
    <row r="57" spans="1:16" ht="15.75" customHeigh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3"/>
    </row>
    <row r="58" spans="1:16" ht="15.75" customHeigh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3"/>
    </row>
    <row r="59" spans="1:16" ht="15.75" customHeigh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3"/>
    </row>
    <row r="60" spans="1:16" ht="15.75" customHeight="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3"/>
    </row>
    <row r="61" spans="1:16" ht="15.75" customHeigh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3"/>
    </row>
    <row r="62" spans="1:16" ht="15.75" customHeigh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3"/>
    </row>
    <row r="63" spans="1:16" ht="15.75" customHeigh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3"/>
    </row>
    <row r="64" spans="1:16" ht="15.75" customHeight="1" x14ac:dyDescent="0.2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3"/>
    </row>
    <row r="65" spans="1:16" ht="15.75" customHeight="1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3"/>
    </row>
    <row r="66" spans="1:16" ht="15.75" customHeight="1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3"/>
    </row>
    <row r="67" spans="1:16" ht="15.75" customHeight="1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3"/>
    </row>
    <row r="68" spans="1:16" ht="15.75" customHeight="1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3"/>
    </row>
    <row r="69" spans="1:16" ht="15.75" customHeight="1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3"/>
    </row>
    <row r="70" spans="1:16" ht="15.75" customHeight="1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3"/>
    </row>
    <row r="71" spans="1:16" ht="15.75" customHeight="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3"/>
    </row>
    <row r="72" spans="1:16" ht="15.75" customHeight="1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3"/>
    </row>
    <row r="73" spans="1:16" ht="15.75" customHeight="1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3"/>
    </row>
    <row r="74" spans="1:16" ht="15.75" customHeight="1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3"/>
    </row>
    <row r="75" spans="1:16" ht="15.75" customHeight="1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3"/>
    </row>
    <row r="76" spans="1:16" ht="15.75" customHeight="1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3"/>
    </row>
    <row r="77" spans="1:16" ht="15.75" customHeight="1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3"/>
    </row>
    <row r="78" spans="1:16" ht="15.75" customHeight="1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3"/>
    </row>
    <row r="79" spans="1:16" ht="15.75" customHeight="1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3"/>
    </row>
    <row r="80" spans="1:16" ht="15.75" customHeight="1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3"/>
    </row>
    <row r="81" spans="1:16" ht="15.75" customHeight="1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3"/>
    </row>
    <row r="82" spans="1:16" ht="15.75" customHeight="1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3"/>
    </row>
    <row r="83" spans="1:16" ht="15.75" customHeight="1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3"/>
    </row>
    <row r="84" spans="1:16" ht="15.75" customHeight="1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3"/>
    </row>
    <row r="85" spans="1:16" ht="15.75" customHeight="1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3"/>
    </row>
    <row r="86" spans="1:16" ht="15.75" customHeight="1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3"/>
    </row>
    <row r="87" spans="1:16" ht="15.75" customHeight="1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3"/>
    </row>
    <row r="88" spans="1:16" ht="15.75" customHeight="1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3"/>
    </row>
    <row r="89" spans="1:16" ht="15.75" customHeight="1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3"/>
    </row>
    <row r="90" spans="1:16" ht="15.75" customHeight="1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3"/>
    </row>
    <row r="91" spans="1:16" ht="15.75" customHeight="1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3"/>
    </row>
    <row r="92" spans="1:16" ht="15.75" customHeight="1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3"/>
    </row>
    <row r="93" spans="1:16" ht="15.75" customHeight="1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3"/>
    </row>
    <row r="94" spans="1:16" ht="15.75" customHeight="1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3"/>
    </row>
    <row r="95" spans="1:16" ht="15.75" customHeight="1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3"/>
    </row>
    <row r="96" spans="1:16" ht="15.75" customHeight="1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3"/>
    </row>
    <row r="97" spans="1:16" ht="15.75" customHeight="1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3"/>
    </row>
    <row r="98" spans="1:16" ht="15.75" customHeight="1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3"/>
    </row>
    <row r="99" spans="1:16" ht="15.75" customHeight="1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3"/>
    </row>
    <row r="100" spans="1:16" ht="15.75" customHeight="1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3"/>
    </row>
  </sheetData>
  <mergeCells count="1">
    <mergeCell ref="A1:P1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7AE60"/>
  </sheetPr>
  <dimension ref="A1:J100"/>
  <sheetViews>
    <sheetView workbookViewId="0">
      <pane ySplit="2" topLeftCell="A3" activePane="bottomLeft" state="frozen"/>
      <selection pane="bottomLeft" activeCell="D18" sqref="D18"/>
    </sheetView>
  </sheetViews>
  <sheetFormatPr defaultColWidth="14.42578125" defaultRowHeight="15" customHeight="1" x14ac:dyDescent="0.25"/>
  <cols>
    <col min="1" max="1" width="30.28515625" customWidth="1"/>
    <col min="2" max="2" width="13.7109375" customWidth="1"/>
    <col min="3" max="4" width="25.5703125" customWidth="1"/>
    <col min="5" max="5" width="20" customWidth="1"/>
    <col min="6" max="6" width="18.85546875" customWidth="1"/>
    <col min="7" max="7" width="19.28515625" customWidth="1"/>
    <col min="8" max="8" width="21.7109375" customWidth="1"/>
    <col min="9" max="9" width="19.85546875" customWidth="1"/>
  </cols>
  <sheetData>
    <row r="1" spans="1:10" ht="27.75" customHeight="1" x14ac:dyDescent="0.25">
      <c r="A1" s="148" t="s">
        <v>9</v>
      </c>
      <c r="B1" s="146"/>
      <c r="C1" s="146"/>
      <c r="D1" s="146"/>
      <c r="E1" s="146"/>
      <c r="F1" s="146"/>
      <c r="G1" s="147"/>
      <c r="H1" s="3"/>
      <c r="I1" s="3"/>
    </row>
    <row r="2" spans="1:10" ht="15" customHeight="1" x14ac:dyDescent="0.25">
      <c r="A2" s="149" t="s">
        <v>10</v>
      </c>
      <c r="B2" s="146"/>
      <c r="C2" s="146"/>
      <c r="D2" s="146"/>
      <c r="E2" s="146"/>
      <c r="F2" s="146"/>
      <c r="G2" s="147"/>
      <c r="H2" s="3"/>
      <c r="I2" s="3"/>
    </row>
    <row r="3" spans="1:10" ht="15" customHeight="1" x14ac:dyDescent="0.25">
      <c r="A3" s="18" t="s">
        <v>11</v>
      </c>
      <c r="B3" s="19">
        <v>5470</v>
      </c>
      <c r="C3" s="20" t="s">
        <v>12</v>
      </c>
      <c r="D3" s="17"/>
      <c r="E3" s="17"/>
      <c r="F3" s="17"/>
      <c r="G3" s="17"/>
      <c r="H3" s="3"/>
      <c r="I3" s="3"/>
    </row>
    <row r="4" spans="1:10" ht="15" customHeight="1" x14ac:dyDescent="0.25">
      <c r="A4" s="18" t="s">
        <v>13</v>
      </c>
      <c r="B4" s="19">
        <v>2660</v>
      </c>
      <c r="C4" s="20" t="s">
        <v>14</v>
      </c>
      <c r="D4" s="17"/>
      <c r="E4" s="17"/>
      <c r="F4" s="17"/>
      <c r="G4" s="17"/>
      <c r="H4" s="3"/>
      <c r="I4" s="3"/>
    </row>
    <row r="5" spans="1:10" ht="15" customHeight="1" x14ac:dyDescent="0.25">
      <c r="A5" s="18" t="s">
        <v>15</v>
      </c>
      <c r="B5" s="21">
        <v>0.5</v>
      </c>
      <c r="C5" s="20" t="s">
        <v>16</v>
      </c>
      <c r="D5" s="17"/>
      <c r="E5" s="17"/>
      <c r="F5" s="17"/>
      <c r="G5" s="17"/>
      <c r="H5" s="3"/>
      <c r="I5" s="3"/>
    </row>
    <row r="6" spans="1:10" ht="15" customHeight="1" x14ac:dyDescent="0.25">
      <c r="A6" s="18" t="s">
        <v>17</v>
      </c>
      <c r="B6" s="21">
        <v>1.15E-2</v>
      </c>
      <c r="C6" s="20" t="s">
        <v>18</v>
      </c>
      <c r="D6" s="17"/>
      <c r="E6" s="17"/>
      <c r="F6" s="17"/>
      <c r="G6" s="17"/>
      <c r="H6" s="3"/>
      <c r="I6" s="3"/>
    </row>
    <row r="7" spans="1:10" ht="15" customHeight="1" x14ac:dyDescent="0.25">
      <c r="A7" s="18" t="s">
        <v>19</v>
      </c>
      <c r="B7" s="19">
        <v>10000</v>
      </c>
      <c r="C7" s="20" t="s">
        <v>20</v>
      </c>
      <c r="D7" s="17"/>
      <c r="E7" s="17"/>
      <c r="F7" s="17"/>
      <c r="G7" s="17"/>
      <c r="H7" s="3"/>
      <c r="I7" s="3"/>
    </row>
    <row r="8" spans="1:10" ht="14.25" customHeight="1" x14ac:dyDescent="0.25">
      <c r="A8" s="17"/>
      <c r="B8" s="17"/>
      <c r="C8" s="17"/>
      <c r="D8" s="17"/>
      <c r="E8" s="17"/>
      <c r="F8" s="17"/>
      <c r="G8" s="17"/>
      <c r="H8" s="3"/>
      <c r="I8" s="3"/>
    </row>
    <row r="9" spans="1:10" ht="19.5" customHeight="1" x14ac:dyDescent="0.25">
      <c r="A9" s="22" t="s">
        <v>21</v>
      </c>
      <c r="B9" s="22" t="s">
        <v>22</v>
      </c>
      <c r="C9" s="22" t="s">
        <v>23</v>
      </c>
      <c r="D9" s="22" t="s">
        <v>24</v>
      </c>
      <c r="E9" s="22" t="s">
        <v>25</v>
      </c>
      <c r="F9" s="22" t="s">
        <v>26</v>
      </c>
      <c r="G9" s="22" t="s">
        <v>27</v>
      </c>
      <c r="H9" s="22" t="s">
        <v>28</v>
      </c>
      <c r="I9" s="22" t="s">
        <v>29</v>
      </c>
      <c r="J9" s="22" t="s">
        <v>30</v>
      </c>
    </row>
    <row r="10" spans="1:10" ht="14.25" customHeight="1" x14ac:dyDescent="0.25">
      <c r="A10" s="23">
        <v>46174</v>
      </c>
      <c r="B10" s="24">
        <v>46174</v>
      </c>
      <c r="C10" s="25">
        <v>0</v>
      </c>
      <c r="D10" s="25">
        <f>C10*$B$6</f>
        <v>0</v>
      </c>
      <c r="E10" s="25">
        <f>C10+D10</f>
        <v>0</v>
      </c>
      <c r="F10" s="26">
        <f t="shared" ref="F10:F72" si="0">E10/$B$7</f>
        <v>0</v>
      </c>
      <c r="G10" s="27" t="str">
        <f t="shared" ref="G10:G73" si="1">IF(E10&gt;=$B$7,"✅ Meta atingida",IF(E10&gt;=$B$7*0.5,"🟡 Meio caminho","🔴 Em construção"))</f>
        <v>🔴 Em construção</v>
      </c>
      <c r="H10" s="25">
        <f t="shared" ref="H10:H72" si="2">$B$4</f>
        <v>2660</v>
      </c>
      <c r="I10" s="25">
        <f t="shared" ref="I10:I72" si="3">$B$3-$B$4</f>
        <v>2810</v>
      </c>
      <c r="J10" s="25">
        <v>0</v>
      </c>
    </row>
    <row r="11" spans="1:10" ht="14.25" customHeight="1" x14ac:dyDescent="0.25">
      <c r="A11" s="23">
        <v>46204</v>
      </c>
      <c r="B11" s="28">
        <v>45839</v>
      </c>
      <c r="C11" s="25">
        <v>0</v>
      </c>
      <c r="D11" s="29">
        <f t="shared" ref="D11:D72" si="4">(E10+C11)*$B$6</f>
        <v>0</v>
      </c>
      <c r="E11" s="29">
        <f>E10+C11+D11</f>
        <v>0</v>
      </c>
      <c r="F11" s="30">
        <f t="shared" si="0"/>
        <v>0</v>
      </c>
      <c r="G11" s="31" t="str">
        <f t="shared" si="1"/>
        <v>🔴 Em construção</v>
      </c>
      <c r="H11" s="25">
        <f t="shared" si="2"/>
        <v>2660</v>
      </c>
      <c r="I11" s="25">
        <f t="shared" si="3"/>
        <v>2810</v>
      </c>
      <c r="J11" s="25">
        <v>0</v>
      </c>
    </row>
    <row r="12" spans="1:10" ht="14.25" customHeight="1" x14ac:dyDescent="0.25">
      <c r="A12" s="23">
        <v>46235</v>
      </c>
      <c r="B12" s="24">
        <v>45899</v>
      </c>
      <c r="C12" s="25">
        <v>400</v>
      </c>
      <c r="D12" s="25">
        <f t="shared" si="4"/>
        <v>4.5999999999999996</v>
      </c>
      <c r="E12" s="29">
        <v>500</v>
      </c>
      <c r="F12" s="26">
        <f t="shared" si="0"/>
        <v>0.05</v>
      </c>
      <c r="G12" s="27" t="str">
        <f t="shared" si="1"/>
        <v>🔴 Em construção</v>
      </c>
      <c r="H12" s="25">
        <f t="shared" si="2"/>
        <v>2660</v>
      </c>
      <c r="I12" s="25">
        <f t="shared" si="3"/>
        <v>2810</v>
      </c>
      <c r="J12" s="25">
        <v>0</v>
      </c>
    </row>
    <row r="13" spans="1:10" ht="14.25" customHeight="1" x14ac:dyDescent="0.25">
      <c r="A13" s="23">
        <v>46266</v>
      </c>
      <c r="B13" s="28">
        <v>46295</v>
      </c>
      <c r="C13" s="25">
        <v>2000</v>
      </c>
      <c r="D13" s="29">
        <f t="shared" si="4"/>
        <v>28.75</v>
      </c>
      <c r="E13" s="29">
        <f t="shared" ref="E13:E72" si="5">E12+C13+D13</f>
        <v>2528.75</v>
      </c>
      <c r="F13" s="30">
        <f t="shared" si="0"/>
        <v>0.25287500000000002</v>
      </c>
      <c r="G13" s="31" t="str">
        <f t="shared" si="1"/>
        <v>🔴 Em construção</v>
      </c>
      <c r="H13" s="25">
        <f t="shared" si="2"/>
        <v>2660</v>
      </c>
      <c r="I13" s="25">
        <f t="shared" si="3"/>
        <v>2810</v>
      </c>
      <c r="J13" s="25">
        <v>1000</v>
      </c>
    </row>
    <row r="14" spans="1:10" ht="14.25" customHeight="1" x14ac:dyDescent="0.25">
      <c r="A14" s="23">
        <v>46296</v>
      </c>
      <c r="B14" s="24">
        <v>46325</v>
      </c>
      <c r="C14" s="25">
        <v>2000</v>
      </c>
      <c r="D14" s="25">
        <f t="shared" si="4"/>
        <v>52.080624999999998</v>
      </c>
      <c r="E14" s="29">
        <f t="shared" si="5"/>
        <v>4580.8306249999996</v>
      </c>
      <c r="F14" s="26">
        <f t="shared" si="0"/>
        <v>0.45808306249999997</v>
      </c>
      <c r="G14" s="27" t="str">
        <f t="shared" si="1"/>
        <v>🔴 Em construção</v>
      </c>
      <c r="H14" s="25">
        <f t="shared" si="2"/>
        <v>2660</v>
      </c>
      <c r="I14" s="25">
        <f t="shared" si="3"/>
        <v>2810</v>
      </c>
      <c r="J14" s="25">
        <v>1000</v>
      </c>
    </row>
    <row r="15" spans="1:10" ht="14.25" customHeight="1" x14ac:dyDescent="0.25">
      <c r="A15" s="23">
        <v>46327</v>
      </c>
      <c r="B15" s="28">
        <v>46356</v>
      </c>
      <c r="C15" s="25">
        <v>3000</v>
      </c>
      <c r="D15" s="29">
        <f t="shared" si="4"/>
        <v>87.179552187499993</v>
      </c>
      <c r="E15" s="29">
        <f t="shared" si="5"/>
        <v>7668.0101771874997</v>
      </c>
      <c r="F15" s="30">
        <f t="shared" si="0"/>
        <v>0.76680101771874998</v>
      </c>
      <c r="G15" s="31" t="str">
        <f t="shared" si="1"/>
        <v>🟡 Meio caminho</v>
      </c>
      <c r="H15" s="25">
        <f t="shared" si="2"/>
        <v>2660</v>
      </c>
      <c r="I15" s="25">
        <f t="shared" si="3"/>
        <v>2810</v>
      </c>
      <c r="J15" s="25">
        <v>1000</v>
      </c>
    </row>
    <row r="16" spans="1:10" ht="14.25" customHeight="1" x14ac:dyDescent="0.25">
      <c r="A16" s="23">
        <v>46357</v>
      </c>
      <c r="B16" s="24">
        <v>46386</v>
      </c>
      <c r="C16" s="25">
        <v>3000</v>
      </c>
      <c r="D16" s="25">
        <f t="shared" si="4"/>
        <v>122.68211703765624</v>
      </c>
      <c r="E16" s="29">
        <f t="shared" si="5"/>
        <v>10790.692294225157</v>
      </c>
      <c r="F16" s="26">
        <f t="shared" si="0"/>
        <v>1.0790692294225157</v>
      </c>
      <c r="G16" s="27" t="str">
        <f t="shared" si="1"/>
        <v>✅ Meta atingida</v>
      </c>
      <c r="H16" s="25">
        <f t="shared" si="2"/>
        <v>2660</v>
      </c>
      <c r="I16" s="25">
        <f t="shared" si="3"/>
        <v>2810</v>
      </c>
      <c r="J16" s="25">
        <v>1000</v>
      </c>
    </row>
    <row r="17" spans="1:10" ht="14.25" customHeight="1" x14ac:dyDescent="0.25">
      <c r="A17" s="23">
        <v>46388</v>
      </c>
      <c r="B17" s="28">
        <v>46023</v>
      </c>
      <c r="C17" s="25">
        <v>3000</v>
      </c>
      <c r="D17" s="29">
        <f t="shared" si="4"/>
        <v>158.59296138358931</v>
      </c>
      <c r="E17" s="29">
        <f t="shared" si="5"/>
        <v>13949.285255608746</v>
      </c>
      <c r="F17" s="30">
        <f t="shared" si="0"/>
        <v>1.3949285255608745</v>
      </c>
      <c r="G17" s="31" t="str">
        <f t="shared" si="1"/>
        <v>✅ Meta atingida</v>
      </c>
      <c r="H17" s="25">
        <f t="shared" si="2"/>
        <v>2660</v>
      </c>
      <c r="I17" s="25">
        <f t="shared" si="3"/>
        <v>2810</v>
      </c>
      <c r="J17" s="25">
        <v>1000</v>
      </c>
    </row>
    <row r="18" spans="1:10" ht="14.25" customHeight="1" x14ac:dyDescent="0.25">
      <c r="A18" s="23">
        <v>46419</v>
      </c>
      <c r="B18" s="24">
        <v>46054</v>
      </c>
      <c r="C18" s="25">
        <v>2000</v>
      </c>
      <c r="D18" s="25">
        <f t="shared" si="4"/>
        <v>183.41678043950057</v>
      </c>
      <c r="E18" s="29">
        <f t="shared" si="5"/>
        <v>16132.702036048246</v>
      </c>
      <c r="F18" s="26">
        <f t="shared" si="0"/>
        <v>1.6132702036048245</v>
      </c>
      <c r="G18" s="27" t="str">
        <f t="shared" si="1"/>
        <v>✅ Meta atingida</v>
      </c>
      <c r="H18" s="25">
        <f t="shared" si="2"/>
        <v>2660</v>
      </c>
      <c r="I18" s="25">
        <f t="shared" si="3"/>
        <v>2810</v>
      </c>
      <c r="J18" s="25">
        <v>1000</v>
      </c>
    </row>
    <row r="19" spans="1:10" ht="14.25" customHeight="1" x14ac:dyDescent="0.25">
      <c r="A19" s="23">
        <v>46447</v>
      </c>
      <c r="B19" s="28">
        <v>46082</v>
      </c>
      <c r="C19" s="25">
        <v>3500</v>
      </c>
      <c r="D19" s="29">
        <f t="shared" si="4"/>
        <v>225.77607341455482</v>
      </c>
      <c r="E19" s="29">
        <f t="shared" si="5"/>
        <v>19858.478109462802</v>
      </c>
      <c r="F19" s="30">
        <f t="shared" si="0"/>
        <v>1.98584781094628</v>
      </c>
      <c r="G19" s="31" t="str">
        <f t="shared" si="1"/>
        <v>✅ Meta atingida</v>
      </c>
      <c r="H19" s="25">
        <f t="shared" si="2"/>
        <v>2660</v>
      </c>
      <c r="I19" s="25">
        <f t="shared" si="3"/>
        <v>2810</v>
      </c>
      <c r="J19" s="25">
        <v>1000</v>
      </c>
    </row>
    <row r="20" spans="1:10" ht="14.25" customHeight="1" x14ac:dyDescent="0.25">
      <c r="A20" s="23">
        <v>46478</v>
      </c>
      <c r="B20" s="24">
        <v>46113</v>
      </c>
      <c r="C20" s="25">
        <v>2000</v>
      </c>
      <c r="D20" s="25">
        <f t="shared" si="4"/>
        <v>251.37249825882222</v>
      </c>
      <c r="E20" s="29">
        <f t="shared" si="5"/>
        <v>22109.850607721623</v>
      </c>
      <c r="F20" s="26">
        <f t="shared" si="0"/>
        <v>2.2109850607721624</v>
      </c>
      <c r="G20" s="27" t="str">
        <f t="shared" si="1"/>
        <v>✅ Meta atingida</v>
      </c>
      <c r="H20" s="25">
        <f t="shared" si="2"/>
        <v>2660</v>
      </c>
      <c r="I20" s="25">
        <f t="shared" si="3"/>
        <v>2810</v>
      </c>
      <c r="J20" s="25">
        <v>1000</v>
      </c>
    </row>
    <row r="21" spans="1:10" ht="14.25" customHeight="1" x14ac:dyDescent="0.25">
      <c r="A21" s="23">
        <v>46508</v>
      </c>
      <c r="B21" s="28">
        <v>46143</v>
      </c>
      <c r="C21" s="25">
        <v>2000</v>
      </c>
      <c r="D21" s="29">
        <f t="shared" si="4"/>
        <v>277.26328198879867</v>
      </c>
      <c r="E21" s="29">
        <f t="shared" si="5"/>
        <v>24387.113889710421</v>
      </c>
      <c r="F21" s="30">
        <f t="shared" si="0"/>
        <v>2.4387113889710421</v>
      </c>
      <c r="G21" s="31" t="str">
        <f t="shared" si="1"/>
        <v>✅ Meta atingida</v>
      </c>
      <c r="H21" s="25">
        <f t="shared" si="2"/>
        <v>2660</v>
      </c>
      <c r="I21" s="25">
        <f t="shared" si="3"/>
        <v>2810</v>
      </c>
      <c r="J21" s="25">
        <v>1000</v>
      </c>
    </row>
    <row r="22" spans="1:10" ht="14.25" customHeight="1" x14ac:dyDescent="0.25">
      <c r="A22" s="23">
        <v>46539</v>
      </c>
      <c r="B22" s="24">
        <v>46174</v>
      </c>
      <c r="C22" s="25">
        <v>2000</v>
      </c>
      <c r="D22" s="25">
        <f t="shared" si="4"/>
        <v>303.45180973166981</v>
      </c>
      <c r="E22" s="29">
        <f t="shared" si="5"/>
        <v>26690.56569944209</v>
      </c>
      <c r="F22" s="26">
        <f t="shared" si="0"/>
        <v>2.669056569944209</v>
      </c>
      <c r="G22" s="27" t="str">
        <f t="shared" si="1"/>
        <v>✅ Meta atingida</v>
      </c>
      <c r="H22" s="25">
        <f t="shared" si="2"/>
        <v>2660</v>
      </c>
      <c r="I22" s="25">
        <f t="shared" si="3"/>
        <v>2810</v>
      </c>
      <c r="J22" s="25">
        <v>1000</v>
      </c>
    </row>
    <row r="23" spans="1:10" ht="14.25" customHeight="1" x14ac:dyDescent="0.25">
      <c r="A23" s="23">
        <v>46569</v>
      </c>
      <c r="B23" s="24">
        <v>46204</v>
      </c>
      <c r="C23" s="25">
        <v>2000</v>
      </c>
      <c r="D23" s="25">
        <f t="shared" si="4"/>
        <v>329.94150554358401</v>
      </c>
      <c r="E23" s="29">
        <f t="shared" si="5"/>
        <v>29020.507204985675</v>
      </c>
      <c r="F23" s="26">
        <f t="shared" si="0"/>
        <v>2.9020507204985675</v>
      </c>
      <c r="G23" s="27" t="str">
        <f t="shared" si="1"/>
        <v>✅ Meta atingida</v>
      </c>
      <c r="H23" s="25">
        <f t="shared" si="2"/>
        <v>2660</v>
      </c>
      <c r="I23" s="25">
        <f t="shared" si="3"/>
        <v>2810</v>
      </c>
      <c r="J23" s="25">
        <v>1000</v>
      </c>
    </row>
    <row r="24" spans="1:10" ht="14.25" customHeight="1" x14ac:dyDescent="0.25">
      <c r="A24" s="23">
        <v>46600</v>
      </c>
      <c r="B24" s="24">
        <v>46235</v>
      </c>
      <c r="C24" s="25">
        <v>2000</v>
      </c>
      <c r="D24" s="25">
        <f t="shared" si="4"/>
        <v>356.73583285733525</v>
      </c>
      <c r="E24" s="29">
        <f t="shared" si="5"/>
        <v>31377.243037843011</v>
      </c>
      <c r="F24" s="26">
        <f t="shared" si="0"/>
        <v>3.1377243037843012</v>
      </c>
      <c r="G24" s="27" t="str">
        <f t="shared" si="1"/>
        <v>✅ Meta atingida</v>
      </c>
      <c r="H24" s="25">
        <f t="shared" si="2"/>
        <v>2660</v>
      </c>
      <c r="I24" s="25">
        <f t="shared" si="3"/>
        <v>2810</v>
      </c>
      <c r="J24" s="25">
        <v>1000</v>
      </c>
    </row>
    <row r="25" spans="1:10" ht="15.75" customHeight="1" x14ac:dyDescent="0.25">
      <c r="A25" s="23">
        <v>46631</v>
      </c>
      <c r="B25" s="24">
        <v>46266</v>
      </c>
      <c r="C25" s="25">
        <v>2000</v>
      </c>
      <c r="D25" s="25">
        <f t="shared" si="4"/>
        <v>383.83829493519465</v>
      </c>
      <c r="E25" s="29">
        <f t="shared" si="5"/>
        <v>33761.081332778209</v>
      </c>
      <c r="F25" s="26">
        <f t="shared" si="0"/>
        <v>3.3761081332778211</v>
      </c>
      <c r="G25" s="27" t="str">
        <f t="shared" si="1"/>
        <v>✅ Meta atingida</v>
      </c>
      <c r="H25" s="25">
        <f t="shared" si="2"/>
        <v>2660</v>
      </c>
      <c r="I25" s="25">
        <f t="shared" si="3"/>
        <v>2810</v>
      </c>
      <c r="J25" s="25">
        <v>1000</v>
      </c>
    </row>
    <row r="26" spans="1:10" ht="15.75" customHeight="1" x14ac:dyDescent="0.25">
      <c r="A26" s="23">
        <v>46661</v>
      </c>
      <c r="B26" s="24">
        <v>46296</v>
      </c>
      <c r="C26" s="25">
        <v>2000</v>
      </c>
      <c r="D26" s="25">
        <f t="shared" si="4"/>
        <v>411.25243532694941</v>
      </c>
      <c r="E26" s="29">
        <f t="shared" si="5"/>
        <v>36172.333768105156</v>
      </c>
      <c r="F26" s="26">
        <f t="shared" si="0"/>
        <v>3.6172333768105158</v>
      </c>
      <c r="G26" s="27" t="str">
        <f t="shared" si="1"/>
        <v>✅ Meta atingida</v>
      </c>
      <c r="H26" s="25">
        <f t="shared" si="2"/>
        <v>2660</v>
      </c>
      <c r="I26" s="25">
        <f t="shared" si="3"/>
        <v>2810</v>
      </c>
      <c r="J26" s="25">
        <v>1000</v>
      </c>
    </row>
    <row r="27" spans="1:10" ht="15.75" customHeight="1" x14ac:dyDescent="0.25">
      <c r="A27" s="23">
        <v>46692</v>
      </c>
      <c r="B27" s="24">
        <v>46327</v>
      </c>
      <c r="C27" s="25">
        <v>3000</v>
      </c>
      <c r="D27" s="25">
        <f t="shared" si="4"/>
        <v>450.48183833320928</v>
      </c>
      <c r="E27" s="29">
        <f t="shared" si="5"/>
        <v>39622.815606438366</v>
      </c>
      <c r="F27" s="26">
        <f t="shared" si="0"/>
        <v>3.9622815606438366</v>
      </c>
      <c r="G27" s="27" t="str">
        <f t="shared" si="1"/>
        <v>✅ Meta atingida</v>
      </c>
      <c r="H27" s="25">
        <f t="shared" si="2"/>
        <v>2660</v>
      </c>
      <c r="I27" s="25">
        <f t="shared" si="3"/>
        <v>2810</v>
      </c>
      <c r="J27" s="25">
        <v>1000</v>
      </c>
    </row>
    <row r="28" spans="1:10" ht="15.75" customHeight="1" x14ac:dyDescent="0.25">
      <c r="A28" s="23">
        <v>46722</v>
      </c>
      <c r="B28" s="24">
        <v>46357</v>
      </c>
      <c r="C28" s="25">
        <v>4000</v>
      </c>
      <c r="D28" s="25">
        <f t="shared" si="4"/>
        <v>501.66237947404119</v>
      </c>
      <c r="E28" s="29">
        <f t="shared" si="5"/>
        <v>44124.47798591241</v>
      </c>
      <c r="F28" s="26">
        <f t="shared" si="0"/>
        <v>4.4124477985912414</v>
      </c>
      <c r="G28" s="27" t="str">
        <f t="shared" si="1"/>
        <v>✅ Meta atingida</v>
      </c>
      <c r="H28" s="25">
        <f t="shared" si="2"/>
        <v>2660</v>
      </c>
      <c r="I28" s="25">
        <f t="shared" si="3"/>
        <v>2810</v>
      </c>
      <c r="J28" s="25">
        <v>1000</v>
      </c>
    </row>
    <row r="29" spans="1:10" ht="15.75" customHeight="1" x14ac:dyDescent="0.25">
      <c r="A29" s="23">
        <v>46753</v>
      </c>
      <c r="B29" s="24">
        <v>46388</v>
      </c>
      <c r="C29" s="25">
        <v>2000</v>
      </c>
      <c r="D29" s="25">
        <f t="shared" si="4"/>
        <v>530.43149683799265</v>
      </c>
      <c r="E29" s="29">
        <f t="shared" si="5"/>
        <v>46654.909482750401</v>
      </c>
      <c r="F29" s="26">
        <f t="shared" si="0"/>
        <v>4.66549094827504</v>
      </c>
      <c r="G29" s="27" t="str">
        <f t="shared" si="1"/>
        <v>✅ Meta atingida</v>
      </c>
      <c r="H29" s="25">
        <f t="shared" si="2"/>
        <v>2660</v>
      </c>
      <c r="I29" s="25">
        <f t="shared" si="3"/>
        <v>2810</v>
      </c>
      <c r="J29" s="25">
        <v>1000</v>
      </c>
    </row>
    <row r="30" spans="1:10" ht="15.75" customHeight="1" x14ac:dyDescent="0.25">
      <c r="A30" s="23">
        <v>46784</v>
      </c>
      <c r="B30" s="24">
        <v>46419</v>
      </c>
      <c r="C30" s="25">
        <v>2000</v>
      </c>
      <c r="D30" s="25">
        <f t="shared" si="4"/>
        <v>559.53145905162955</v>
      </c>
      <c r="E30" s="29">
        <f t="shared" si="5"/>
        <v>49214.44094180203</v>
      </c>
      <c r="F30" s="26">
        <f t="shared" si="0"/>
        <v>4.9214440941802033</v>
      </c>
      <c r="G30" s="27" t="str">
        <f t="shared" si="1"/>
        <v>✅ Meta atingida</v>
      </c>
      <c r="H30" s="25">
        <f t="shared" si="2"/>
        <v>2660</v>
      </c>
      <c r="I30" s="25">
        <f t="shared" si="3"/>
        <v>2810</v>
      </c>
      <c r="J30" s="25">
        <v>1000</v>
      </c>
    </row>
    <row r="31" spans="1:10" ht="15.75" customHeight="1" x14ac:dyDescent="0.25">
      <c r="A31" s="23">
        <v>46813</v>
      </c>
      <c r="B31" s="24">
        <v>46447</v>
      </c>
      <c r="C31" s="25">
        <v>3500</v>
      </c>
      <c r="D31" s="25">
        <f t="shared" si="4"/>
        <v>606.21607083072331</v>
      </c>
      <c r="E31" s="29">
        <f t="shared" si="5"/>
        <v>53320.65701263275</v>
      </c>
      <c r="F31" s="26">
        <f t="shared" si="0"/>
        <v>5.3320657012632751</v>
      </c>
      <c r="G31" s="27" t="str">
        <f t="shared" si="1"/>
        <v>✅ Meta atingida</v>
      </c>
      <c r="H31" s="25">
        <f t="shared" si="2"/>
        <v>2660</v>
      </c>
      <c r="I31" s="25">
        <f t="shared" si="3"/>
        <v>2810</v>
      </c>
      <c r="J31" s="25">
        <v>1000</v>
      </c>
    </row>
    <row r="32" spans="1:10" ht="15.75" customHeight="1" x14ac:dyDescent="0.25">
      <c r="A32" s="23">
        <v>46844</v>
      </c>
      <c r="B32" s="24">
        <v>46478</v>
      </c>
      <c r="C32" s="25">
        <v>2000</v>
      </c>
      <c r="D32" s="25">
        <f t="shared" si="4"/>
        <v>636.18755564527657</v>
      </c>
      <c r="E32" s="29">
        <f t="shared" si="5"/>
        <v>55956.844568278029</v>
      </c>
      <c r="F32" s="26">
        <f t="shared" si="0"/>
        <v>5.5956844568278026</v>
      </c>
      <c r="G32" s="27" t="str">
        <f t="shared" si="1"/>
        <v>✅ Meta atingida</v>
      </c>
      <c r="H32" s="25">
        <f t="shared" si="2"/>
        <v>2660</v>
      </c>
      <c r="I32" s="25">
        <f t="shared" si="3"/>
        <v>2810</v>
      </c>
      <c r="J32" s="25">
        <v>1000</v>
      </c>
    </row>
    <row r="33" spans="1:10" ht="15.75" customHeight="1" x14ac:dyDescent="0.25">
      <c r="A33" s="23">
        <v>46874</v>
      </c>
      <c r="B33" s="24">
        <v>46508</v>
      </c>
      <c r="C33" s="25">
        <v>2000</v>
      </c>
      <c r="D33" s="25">
        <f t="shared" si="4"/>
        <v>666.50371253519734</v>
      </c>
      <c r="E33" s="29">
        <f t="shared" si="5"/>
        <v>58623.348280813225</v>
      </c>
      <c r="F33" s="26">
        <f t="shared" si="0"/>
        <v>5.8623348280813223</v>
      </c>
      <c r="G33" s="27" t="str">
        <f t="shared" si="1"/>
        <v>✅ Meta atingida</v>
      </c>
      <c r="H33" s="25">
        <f t="shared" si="2"/>
        <v>2660</v>
      </c>
      <c r="I33" s="25">
        <f t="shared" si="3"/>
        <v>2810</v>
      </c>
      <c r="J33" s="25">
        <v>1000</v>
      </c>
    </row>
    <row r="34" spans="1:10" ht="15.75" customHeight="1" x14ac:dyDescent="0.25">
      <c r="A34" s="23">
        <v>46905</v>
      </c>
      <c r="B34" s="24">
        <v>46539</v>
      </c>
      <c r="C34" s="25">
        <v>2000</v>
      </c>
      <c r="D34" s="25">
        <f t="shared" si="4"/>
        <v>697.16850522935204</v>
      </c>
      <c r="E34" s="29">
        <f t="shared" si="5"/>
        <v>61320.516786042579</v>
      </c>
      <c r="F34" s="26">
        <f t="shared" si="0"/>
        <v>6.1320516786042578</v>
      </c>
      <c r="G34" s="27" t="str">
        <f t="shared" si="1"/>
        <v>✅ Meta atingida</v>
      </c>
      <c r="H34" s="25">
        <f t="shared" si="2"/>
        <v>2660</v>
      </c>
      <c r="I34" s="25">
        <f t="shared" si="3"/>
        <v>2810</v>
      </c>
      <c r="J34" s="25">
        <v>1000</v>
      </c>
    </row>
    <row r="35" spans="1:10" ht="15.75" customHeight="1" x14ac:dyDescent="0.25">
      <c r="A35" s="23">
        <v>46935</v>
      </c>
      <c r="B35" s="28">
        <v>45839</v>
      </c>
      <c r="C35" s="25">
        <v>2000</v>
      </c>
      <c r="D35" s="25">
        <f t="shared" si="4"/>
        <v>728.18594303948964</v>
      </c>
      <c r="E35" s="29">
        <f t="shared" si="5"/>
        <v>64048.70272908207</v>
      </c>
      <c r="F35" s="26">
        <f t="shared" si="0"/>
        <v>6.404870272908207</v>
      </c>
      <c r="G35" s="27" t="str">
        <f t="shared" si="1"/>
        <v>✅ Meta atingida</v>
      </c>
      <c r="H35" s="25">
        <f t="shared" si="2"/>
        <v>2660</v>
      </c>
      <c r="I35" s="25">
        <f t="shared" si="3"/>
        <v>2810</v>
      </c>
      <c r="J35" s="25">
        <v>1000</v>
      </c>
    </row>
    <row r="36" spans="1:10" ht="15.75" customHeight="1" x14ac:dyDescent="0.25">
      <c r="A36" s="23">
        <v>46966</v>
      </c>
      <c r="B36" s="24">
        <v>45870</v>
      </c>
      <c r="C36" s="25">
        <v>2001</v>
      </c>
      <c r="D36" s="25">
        <f t="shared" si="4"/>
        <v>759.57158138444379</v>
      </c>
      <c r="E36" s="29">
        <f t="shared" si="5"/>
        <v>66809.274310466513</v>
      </c>
      <c r="F36" s="26">
        <f t="shared" si="0"/>
        <v>6.6809274310466513</v>
      </c>
      <c r="G36" s="27" t="str">
        <f t="shared" si="1"/>
        <v>✅ Meta atingida</v>
      </c>
      <c r="H36" s="25">
        <f t="shared" si="2"/>
        <v>2660</v>
      </c>
      <c r="I36" s="25">
        <f t="shared" si="3"/>
        <v>2810</v>
      </c>
      <c r="J36" s="25">
        <v>1000</v>
      </c>
    </row>
    <row r="37" spans="1:10" ht="15.75" customHeight="1" x14ac:dyDescent="0.25">
      <c r="A37" s="23">
        <v>46997</v>
      </c>
      <c r="B37" s="28">
        <v>45901</v>
      </c>
      <c r="C37" s="25">
        <v>2002</v>
      </c>
      <c r="D37" s="25">
        <f t="shared" si="4"/>
        <v>791.32965457036494</v>
      </c>
      <c r="E37" s="29">
        <f t="shared" si="5"/>
        <v>69602.603965036877</v>
      </c>
      <c r="F37" s="26">
        <f t="shared" si="0"/>
        <v>6.9602603965036876</v>
      </c>
      <c r="G37" s="27" t="str">
        <f t="shared" si="1"/>
        <v>✅ Meta atingida</v>
      </c>
      <c r="H37" s="25">
        <f t="shared" si="2"/>
        <v>2660</v>
      </c>
      <c r="I37" s="25">
        <f t="shared" si="3"/>
        <v>2810</v>
      </c>
      <c r="J37" s="25">
        <v>1000</v>
      </c>
    </row>
    <row r="38" spans="1:10" ht="15.75" customHeight="1" x14ac:dyDescent="0.25">
      <c r="A38" s="23">
        <v>47027</v>
      </c>
      <c r="B38" s="24">
        <v>45931</v>
      </c>
      <c r="C38" s="25">
        <v>2003</v>
      </c>
      <c r="D38" s="25">
        <f t="shared" si="4"/>
        <v>823.46444559792405</v>
      </c>
      <c r="E38" s="29">
        <f t="shared" si="5"/>
        <v>72429.068410634805</v>
      </c>
      <c r="F38" s="26">
        <f t="shared" si="0"/>
        <v>7.2429068410634807</v>
      </c>
      <c r="G38" s="27" t="str">
        <f t="shared" si="1"/>
        <v>✅ Meta atingida</v>
      </c>
      <c r="H38" s="25">
        <f t="shared" si="2"/>
        <v>2660</v>
      </c>
      <c r="I38" s="25">
        <f t="shared" si="3"/>
        <v>2810</v>
      </c>
      <c r="J38" s="25">
        <v>1000</v>
      </c>
    </row>
    <row r="39" spans="1:10" ht="15.75" customHeight="1" x14ac:dyDescent="0.25">
      <c r="A39" s="23">
        <v>47058</v>
      </c>
      <c r="B39" s="28">
        <v>45962</v>
      </c>
      <c r="C39" s="25">
        <v>2004</v>
      </c>
      <c r="D39" s="25">
        <f t="shared" si="4"/>
        <v>855.98028672230021</v>
      </c>
      <c r="E39" s="29">
        <f t="shared" si="5"/>
        <v>75289.04869735711</v>
      </c>
      <c r="F39" s="26">
        <f t="shared" si="0"/>
        <v>7.5289048697357108</v>
      </c>
      <c r="G39" s="27" t="str">
        <f t="shared" si="1"/>
        <v>✅ Meta atingida</v>
      </c>
      <c r="H39" s="25">
        <f t="shared" si="2"/>
        <v>2660</v>
      </c>
      <c r="I39" s="25">
        <f t="shared" si="3"/>
        <v>2810</v>
      </c>
      <c r="J39" s="25">
        <v>1000</v>
      </c>
    </row>
    <row r="40" spans="1:10" ht="15.75" customHeight="1" x14ac:dyDescent="0.25">
      <c r="A40" s="23">
        <v>47088</v>
      </c>
      <c r="B40" s="24">
        <v>45992</v>
      </c>
      <c r="C40" s="25">
        <v>2005</v>
      </c>
      <c r="D40" s="25">
        <f t="shared" si="4"/>
        <v>888.8815600196067</v>
      </c>
      <c r="E40" s="29">
        <f t="shared" si="5"/>
        <v>78182.93025737672</v>
      </c>
      <c r="F40" s="26">
        <f t="shared" si="0"/>
        <v>7.8182930257376722</v>
      </c>
      <c r="G40" s="27" t="str">
        <f t="shared" si="1"/>
        <v>✅ Meta atingida</v>
      </c>
      <c r="H40" s="25">
        <f t="shared" si="2"/>
        <v>2660</v>
      </c>
      <c r="I40" s="25">
        <f t="shared" si="3"/>
        <v>2810</v>
      </c>
      <c r="J40" s="25">
        <v>1000</v>
      </c>
    </row>
    <row r="41" spans="1:10" ht="15.75" customHeight="1" x14ac:dyDescent="0.25">
      <c r="A41" s="23">
        <v>47119</v>
      </c>
      <c r="B41" s="28">
        <v>46023</v>
      </c>
      <c r="C41" s="25">
        <v>2006</v>
      </c>
      <c r="D41" s="25">
        <f t="shared" si="4"/>
        <v>922.17269795983225</v>
      </c>
      <c r="E41" s="29">
        <f t="shared" si="5"/>
        <v>81111.102955336552</v>
      </c>
      <c r="F41" s="26">
        <f t="shared" si="0"/>
        <v>8.1111102955336545</v>
      </c>
      <c r="G41" s="27" t="str">
        <f t="shared" si="1"/>
        <v>✅ Meta atingida</v>
      </c>
      <c r="H41" s="25">
        <f t="shared" si="2"/>
        <v>2660</v>
      </c>
      <c r="I41" s="25">
        <f t="shared" si="3"/>
        <v>2810</v>
      </c>
      <c r="J41" s="25">
        <v>1000</v>
      </c>
    </row>
    <row r="42" spans="1:10" ht="15.75" customHeight="1" x14ac:dyDescent="0.25">
      <c r="A42" s="23">
        <v>47150</v>
      </c>
      <c r="B42" s="24">
        <v>46054</v>
      </c>
      <c r="C42" s="25">
        <v>2007</v>
      </c>
      <c r="D42" s="25">
        <f t="shared" si="4"/>
        <v>955.85818398637036</v>
      </c>
      <c r="E42" s="29">
        <f t="shared" si="5"/>
        <v>84073.961139322928</v>
      </c>
      <c r="F42" s="26">
        <f t="shared" si="0"/>
        <v>8.4073961139322932</v>
      </c>
      <c r="G42" s="27" t="str">
        <f t="shared" si="1"/>
        <v>✅ Meta atingida</v>
      </c>
      <c r="H42" s="25">
        <f t="shared" si="2"/>
        <v>2660</v>
      </c>
      <c r="I42" s="25">
        <f t="shared" si="3"/>
        <v>2810</v>
      </c>
      <c r="J42" s="25">
        <v>1000</v>
      </c>
    </row>
    <row r="43" spans="1:10" ht="15.75" customHeight="1" x14ac:dyDescent="0.25">
      <c r="A43" s="23">
        <v>47178</v>
      </c>
      <c r="B43" s="28">
        <v>46082</v>
      </c>
      <c r="C43" s="25">
        <v>2008</v>
      </c>
      <c r="D43" s="25">
        <f t="shared" si="4"/>
        <v>989.94255310221365</v>
      </c>
      <c r="E43" s="29">
        <f t="shared" si="5"/>
        <v>87071.903692425141</v>
      </c>
      <c r="F43" s="26">
        <f t="shared" si="0"/>
        <v>8.7071903692425145</v>
      </c>
      <c r="G43" s="27" t="str">
        <f t="shared" si="1"/>
        <v>✅ Meta atingida</v>
      </c>
      <c r="H43" s="25">
        <f t="shared" si="2"/>
        <v>2660</v>
      </c>
      <c r="I43" s="25">
        <f t="shared" si="3"/>
        <v>2810</v>
      </c>
      <c r="J43" s="25">
        <v>1000</v>
      </c>
    </row>
    <row r="44" spans="1:10" ht="15.75" customHeight="1" x14ac:dyDescent="0.25">
      <c r="A44" s="23">
        <v>47209</v>
      </c>
      <c r="B44" s="24">
        <v>46113</v>
      </c>
      <c r="C44" s="25">
        <v>2009</v>
      </c>
      <c r="D44" s="25">
        <f t="shared" si="4"/>
        <v>1024.4303924628891</v>
      </c>
      <c r="E44" s="29">
        <f t="shared" si="5"/>
        <v>90105.334084888033</v>
      </c>
      <c r="F44" s="26">
        <f t="shared" si="0"/>
        <v>9.0105334084888025</v>
      </c>
      <c r="G44" s="27" t="str">
        <f t="shared" si="1"/>
        <v>✅ Meta atingida</v>
      </c>
      <c r="H44" s="25">
        <f t="shared" si="2"/>
        <v>2660</v>
      </c>
      <c r="I44" s="25">
        <f t="shared" si="3"/>
        <v>2810</v>
      </c>
      <c r="J44" s="25">
        <v>1000</v>
      </c>
    </row>
    <row r="45" spans="1:10" ht="15.75" customHeight="1" x14ac:dyDescent="0.25">
      <c r="A45" s="23">
        <v>47239</v>
      </c>
      <c r="B45" s="28">
        <v>46143</v>
      </c>
      <c r="C45" s="25">
        <v>2010</v>
      </c>
      <c r="D45" s="25">
        <f t="shared" si="4"/>
        <v>1059.3263419762125</v>
      </c>
      <c r="E45" s="29">
        <f t="shared" si="5"/>
        <v>93174.66042686424</v>
      </c>
      <c r="F45" s="26">
        <f t="shared" si="0"/>
        <v>9.3174660426864246</v>
      </c>
      <c r="G45" s="27" t="str">
        <f t="shared" si="1"/>
        <v>✅ Meta atingida</v>
      </c>
      <c r="H45" s="25">
        <f t="shared" si="2"/>
        <v>2660</v>
      </c>
      <c r="I45" s="25">
        <f t="shared" si="3"/>
        <v>2810</v>
      </c>
      <c r="J45" s="25">
        <v>1000</v>
      </c>
    </row>
    <row r="46" spans="1:10" ht="15.75" customHeight="1" x14ac:dyDescent="0.25">
      <c r="A46" s="23">
        <v>47270</v>
      </c>
      <c r="B46" s="24">
        <v>46174</v>
      </c>
      <c r="C46" s="25">
        <v>2011</v>
      </c>
      <c r="D46" s="25">
        <f t="shared" si="4"/>
        <v>1094.6350949089388</v>
      </c>
      <c r="E46" s="29">
        <f t="shared" si="5"/>
        <v>96280.29552177318</v>
      </c>
      <c r="F46" s="26">
        <f t="shared" si="0"/>
        <v>9.6280295521773187</v>
      </c>
      <c r="G46" s="27" t="str">
        <f t="shared" si="1"/>
        <v>✅ Meta atingida</v>
      </c>
      <c r="H46" s="25">
        <f t="shared" si="2"/>
        <v>2660</v>
      </c>
      <c r="I46" s="25">
        <f t="shared" si="3"/>
        <v>2810</v>
      </c>
      <c r="J46" s="25">
        <v>1000</v>
      </c>
    </row>
    <row r="47" spans="1:10" ht="15.75" customHeight="1" x14ac:dyDescent="0.25">
      <c r="A47" s="23">
        <v>47300</v>
      </c>
      <c r="B47" s="24">
        <v>46204</v>
      </c>
      <c r="C47" s="25">
        <v>2012</v>
      </c>
      <c r="D47" s="25">
        <f t="shared" si="4"/>
        <v>1130.3613985003915</v>
      </c>
      <c r="E47" s="29">
        <f t="shared" si="5"/>
        <v>99422.65692027357</v>
      </c>
      <c r="F47" s="26">
        <f t="shared" si="0"/>
        <v>9.9422656920273571</v>
      </c>
      <c r="G47" s="27" t="str">
        <f t="shared" si="1"/>
        <v>✅ Meta atingida</v>
      </c>
      <c r="H47" s="25">
        <f t="shared" si="2"/>
        <v>2660</v>
      </c>
      <c r="I47" s="25">
        <f t="shared" si="3"/>
        <v>2810</v>
      </c>
      <c r="J47" s="25">
        <v>1000</v>
      </c>
    </row>
    <row r="48" spans="1:10" ht="15.75" customHeight="1" x14ac:dyDescent="0.25">
      <c r="A48" s="23">
        <v>47331</v>
      </c>
      <c r="B48" s="24">
        <v>46235</v>
      </c>
      <c r="C48" s="25">
        <v>2013</v>
      </c>
      <c r="D48" s="25">
        <f t="shared" si="4"/>
        <v>1166.510054583146</v>
      </c>
      <c r="E48" s="29">
        <f t="shared" si="5"/>
        <v>102602.16697485672</v>
      </c>
      <c r="F48" s="26">
        <f t="shared" si="0"/>
        <v>10.260216697485673</v>
      </c>
      <c r="G48" s="27" t="str">
        <f t="shared" si="1"/>
        <v>✅ Meta atingida</v>
      </c>
      <c r="H48" s="25">
        <f t="shared" si="2"/>
        <v>2660</v>
      </c>
      <c r="I48" s="25">
        <f t="shared" si="3"/>
        <v>2810</v>
      </c>
      <c r="J48" s="25">
        <v>1000</v>
      </c>
    </row>
    <row r="49" spans="1:10" ht="15.75" customHeight="1" x14ac:dyDescent="0.25">
      <c r="A49" s="23">
        <v>47362</v>
      </c>
      <c r="B49" s="24">
        <v>46266</v>
      </c>
      <c r="C49" s="25">
        <v>2014</v>
      </c>
      <c r="D49" s="25">
        <f t="shared" si="4"/>
        <v>1203.0859202108522</v>
      </c>
      <c r="E49" s="29">
        <f t="shared" si="5"/>
        <v>105819.25289506758</v>
      </c>
      <c r="F49" s="26">
        <f t="shared" si="0"/>
        <v>10.581925289506758</v>
      </c>
      <c r="G49" s="27" t="str">
        <f t="shared" si="1"/>
        <v>✅ Meta atingida</v>
      </c>
      <c r="H49" s="25">
        <f t="shared" si="2"/>
        <v>2660</v>
      </c>
      <c r="I49" s="25">
        <f t="shared" si="3"/>
        <v>2810</v>
      </c>
      <c r="J49" s="25">
        <v>1000</v>
      </c>
    </row>
    <row r="50" spans="1:10" ht="15.75" customHeight="1" x14ac:dyDescent="0.25">
      <c r="A50" s="23" t="s">
        <v>31</v>
      </c>
      <c r="B50" s="24">
        <v>46296</v>
      </c>
      <c r="C50" s="25">
        <v>2015</v>
      </c>
      <c r="D50" s="25">
        <f t="shared" si="4"/>
        <v>1240.0939082932771</v>
      </c>
      <c r="E50" s="29">
        <f t="shared" si="5"/>
        <v>109074.34680336085</v>
      </c>
      <c r="F50" s="26">
        <f t="shared" si="0"/>
        <v>10.907434680336085</v>
      </c>
      <c r="G50" s="27" t="str">
        <f t="shared" si="1"/>
        <v>✅ Meta atingida</v>
      </c>
      <c r="H50" s="25">
        <f t="shared" si="2"/>
        <v>2660</v>
      </c>
      <c r="I50" s="25">
        <f t="shared" si="3"/>
        <v>2810</v>
      </c>
      <c r="J50" s="25">
        <v>1000</v>
      </c>
    </row>
    <row r="51" spans="1:10" ht="15.75" customHeight="1" x14ac:dyDescent="0.25">
      <c r="A51" s="23">
        <v>47423</v>
      </c>
      <c r="B51" s="24">
        <v>46327</v>
      </c>
      <c r="C51" s="25">
        <v>2016</v>
      </c>
      <c r="D51" s="25">
        <f t="shared" si="4"/>
        <v>1277.5389882386498</v>
      </c>
      <c r="E51" s="29">
        <f t="shared" si="5"/>
        <v>112367.8857915995</v>
      </c>
      <c r="F51" s="26">
        <f t="shared" si="0"/>
        <v>11.236788579159951</v>
      </c>
      <c r="G51" s="27" t="str">
        <f t="shared" si="1"/>
        <v>✅ Meta atingida</v>
      </c>
      <c r="H51" s="25">
        <f t="shared" si="2"/>
        <v>2660</v>
      </c>
      <c r="I51" s="25">
        <f t="shared" si="3"/>
        <v>2810</v>
      </c>
      <c r="J51" s="25">
        <v>1000</v>
      </c>
    </row>
    <row r="52" spans="1:10" ht="15.75" customHeight="1" x14ac:dyDescent="0.25">
      <c r="A52" s="23">
        <v>47453</v>
      </c>
      <c r="B52" s="24">
        <v>46357</v>
      </c>
      <c r="C52" s="25">
        <v>2017</v>
      </c>
      <c r="D52" s="25">
        <f t="shared" si="4"/>
        <v>1315.4261866033942</v>
      </c>
      <c r="E52" s="29">
        <f t="shared" si="5"/>
        <v>115700.3119782029</v>
      </c>
      <c r="F52" s="26">
        <f t="shared" si="0"/>
        <v>11.57003119782029</v>
      </c>
      <c r="G52" s="27" t="str">
        <f t="shared" si="1"/>
        <v>✅ Meta atingida</v>
      </c>
      <c r="H52" s="25">
        <f t="shared" si="2"/>
        <v>2660</v>
      </c>
      <c r="I52" s="25">
        <f t="shared" si="3"/>
        <v>2810</v>
      </c>
      <c r="J52" s="25">
        <v>1000</v>
      </c>
    </row>
    <row r="53" spans="1:10" ht="15.75" customHeight="1" x14ac:dyDescent="0.25">
      <c r="A53" s="23">
        <v>47484</v>
      </c>
      <c r="B53" s="24">
        <v>46388</v>
      </c>
      <c r="C53" s="25">
        <v>2018</v>
      </c>
      <c r="D53" s="25">
        <f t="shared" si="4"/>
        <v>1353.7605877493334</v>
      </c>
      <c r="E53" s="29">
        <f t="shared" si="5"/>
        <v>119072.07256595223</v>
      </c>
      <c r="F53" s="26">
        <f t="shared" si="0"/>
        <v>11.907207256595223</v>
      </c>
      <c r="G53" s="27" t="str">
        <f t="shared" si="1"/>
        <v>✅ Meta atingida</v>
      </c>
      <c r="H53" s="25">
        <f t="shared" si="2"/>
        <v>2660</v>
      </c>
      <c r="I53" s="25">
        <f t="shared" si="3"/>
        <v>2810</v>
      </c>
      <c r="J53" s="25">
        <v>1000</v>
      </c>
    </row>
    <row r="54" spans="1:10" ht="15.75" customHeight="1" x14ac:dyDescent="0.25">
      <c r="A54" s="23">
        <v>47515</v>
      </c>
      <c r="B54" s="24">
        <v>46419</v>
      </c>
      <c r="C54" s="25">
        <v>2019</v>
      </c>
      <c r="D54" s="25">
        <f t="shared" si="4"/>
        <v>1392.5473345084506</v>
      </c>
      <c r="E54" s="29">
        <f t="shared" si="5"/>
        <v>122483.61990046068</v>
      </c>
      <c r="F54" s="26">
        <f t="shared" si="0"/>
        <v>12.248361990046067</v>
      </c>
      <c r="G54" s="27" t="str">
        <f t="shared" si="1"/>
        <v>✅ Meta atingida</v>
      </c>
      <c r="H54" s="25">
        <f t="shared" si="2"/>
        <v>2660</v>
      </c>
      <c r="I54" s="25">
        <f t="shared" si="3"/>
        <v>2810</v>
      </c>
      <c r="J54" s="25">
        <v>1000</v>
      </c>
    </row>
    <row r="55" spans="1:10" ht="15.75" customHeight="1" x14ac:dyDescent="0.25">
      <c r="A55" s="23">
        <v>47543</v>
      </c>
      <c r="B55" s="24">
        <v>46447</v>
      </c>
      <c r="C55" s="25">
        <v>2020</v>
      </c>
      <c r="D55" s="25">
        <f t="shared" si="4"/>
        <v>1431.7916288552976</v>
      </c>
      <c r="E55" s="29">
        <f t="shared" si="5"/>
        <v>125935.41152931597</v>
      </c>
      <c r="F55" s="26">
        <f t="shared" si="0"/>
        <v>12.593541152931596</v>
      </c>
      <c r="G55" s="27" t="str">
        <f t="shared" si="1"/>
        <v>✅ Meta atingida</v>
      </c>
      <c r="H55" s="25">
        <f t="shared" si="2"/>
        <v>2660</v>
      </c>
      <c r="I55" s="25">
        <f t="shared" si="3"/>
        <v>2810</v>
      </c>
      <c r="J55" s="25">
        <v>1000</v>
      </c>
    </row>
    <row r="56" spans="1:10" ht="15.75" customHeight="1" x14ac:dyDescent="0.25">
      <c r="A56" s="23">
        <v>47574</v>
      </c>
      <c r="B56" s="24">
        <v>46478</v>
      </c>
      <c r="C56" s="25">
        <v>2021</v>
      </c>
      <c r="D56" s="25">
        <f t="shared" si="4"/>
        <v>1471.4987325871336</v>
      </c>
      <c r="E56" s="29">
        <f t="shared" si="5"/>
        <v>129427.9102619031</v>
      </c>
      <c r="F56" s="26">
        <f t="shared" si="0"/>
        <v>12.94279102619031</v>
      </c>
      <c r="G56" s="27" t="str">
        <f t="shared" si="1"/>
        <v>✅ Meta atingida</v>
      </c>
      <c r="H56" s="25">
        <f t="shared" si="2"/>
        <v>2660</v>
      </c>
      <c r="I56" s="25">
        <f t="shared" si="3"/>
        <v>2810</v>
      </c>
      <c r="J56" s="25">
        <v>1000</v>
      </c>
    </row>
    <row r="57" spans="1:10" ht="15.75" customHeight="1" x14ac:dyDescent="0.25">
      <c r="A57" s="23">
        <v>47604</v>
      </c>
      <c r="B57" s="24">
        <v>46508</v>
      </c>
      <c r="C57" s="25">
        <v>2022</v>
      </c>
      <c r="D57" s="25">
        <f t="shared" si="4"/>
        <v>1511.6739680118856</v>
      </c>
      <c r="E57" s="29">
        <f t="shared" si="5"/>
        <v>132961.584229915</v>
      </c>
      <c r="F57" s="26">
        <f t="shared" si="0"/>
        <v>13.2961584229915</v>
      </c>
      <c r="G57" s="27" t="str">
        <f t="shared" si="1"/>
        <v>✅ Meta atingida</v>
      </c>
      <c r="H57" s="25">
        <f t="shared" si="2"/>
        <v>2660</v>
      </c>
      <c r="I57" s="25">
        <f t="shared" si="3"/>
        <v>2810</v>
      </c>
      <c r="J57" s="25">
        <v>1000</v>
      </c>
    </row>
    <row r="58" spans="1:10" ht="15.75" customHeight="1" x14ac:dyDescent="0.25">
      <c r="A58" s="23">
        <v>47635</v>
      </c>
      <c r="B58" s="24">
        <v>46539</v>
      </c>
      <c r="C58" s="25">
        <v>2023</v>
      </c>
      <c r="D58" s="25">
        <f t="shared" si="4"/>
        <v>1552.3227186440224</v>
      </c>
      <c r="E58" s="29">
        <f t="shared" si="5"/>
        <v>136536.90694855902</v>
      </c>
      <c r="F58" s="26">
        <f t="shared" si="0"/>
        <v>13.653690694855902</v>
      </c>
      <c r="G58" s="27" t="str">
        <f t="shared" si="1"/>
        <v>✅ Meta atingida</v>
      </c>
      <c r="H58" s="25">
        <f t="shared" si="2"/>
        <v>2660</v>
      </c>
      <c r="I58" s="25">
        <f t="shared" si="3"/>
        <v>2810</v>
      </c>
      <c r="J58" s="25">
        <v>1000</v>
      </c>
    </row>
    <row r="59" spans="1:10" ht="15.75" customHeight="1" x14ac:dyDescent="0.25">
      <c r="A59" s="23">
        <v>47665</v>
      </c>
      <c r="B59" s="28">
        <v>45839</v>
      </c>
      <c r="C59" s="25">
        <v>2024</v>
      </c>
      <c r="D59" s="25">
        <f t="shared" si="4"/>
        <v>1593.4504299084288</v>
      </c>
      <c r="E59" s="29">
        <f t="shared" si="5"/>
        <v>140154.35737846745</v>
      </c>
      <c r="F59" s="26">
        <f t="shared" si="0"/>
        <v>14.015435737846746</v>
      </c>
      <c r="G59" s="27" t="str">
        <f t="shared" si="1"/>
        <v>✅ Meta atingida</v>
      </c>
      <c r="H59" s="25">
        <f t="shared" si="2"/>
        <v>2660</v>
      </c>
      <c r="I59" s="25">
        <f t="shared" si="3"/>
        <v>2810</v>
      </c>
      <c r="J59" s="25">
        <v>1000</v>
      </c>
    </row>
    <row r="60" spans="1:10" ht="15.75" customHeight="1" x14ac:dyDescent="0.25">
      <c r="A60" s="23">
        <v>47696</v>
      </c>
      <c r="B60" s="24">
        <v>45870</v>
      </c>
      <c r="C60" s="25">
        <v>2025</v>
      </c>
      <c r="D60" s="25">
        <f t="shared" si="4"/>
        <v>1635.0626098523758</v>
      </c>
      <c r="E60" s="29">
        <f t="shared" si="5"/>
        <v>143814.41998831983</v>
      </c>
      <c r="F60" s="26">
        <f t="shared" si="0"/>
        <v>14.381441998831983</v>
      </c>
      <c r="G60" s="27" t="str">
        <f t="shared" si="1"/>
        <v>✅ Meta atingida</v>
      </c>
      <c r="H60" s="25">
        <f t="shared" si="2"/>
        <v>2660</v>
      </c>
      <c r="I60" s="25">
        <f t="shared" si="3"/>
        <v>2810</v>
      </c>
      <c r="J60" s="25">
        <v>1000</v>
      </c>
    </row>
    <row r="61" spans="1:10" ht="15.75" customHeight="1" x14ac:dyDescent="0.25">
      <c r="A61" s="23">
        <v>47727</v>
      </c>
      <c r="B61" s="28">
        <v>45901</v>
      </c>
      <c r="C61" s="25">
        <v>2026</v>
      </c>
      <c r="D61" s="25">
        <f t="shared" si="4"/>
        <v>1677.164829865678</v>
      </c>
      <c r="E61" s="29">
        <f t="shared" si="5"/>
        <v>147517.58481818551</v>
      </c>
      <c r="F61" s="26">
        <f t="shared" si="0"/>
        <v>14.751758481818552</v>
      </c>
      <c r="G61" s="27" t="str">
        <f t="shared" si="1"/>
        <v>✅ Meta atingida</v>
      </c>
      <c r="H61" s="25">
        <f t="shared" si="2"/>
        <v>2660</v>
      </c>
      <c r="I61" s="25">
        <f t="shared" si="3"/>
        <v>2810</v>
      </c>
      <c r="J61" s="25">
        <v>1000</v>
      </c>
    </row>
    <row r="62" spans="1:10" ht="15.75" customHeight="1" x14ac:dyDescent="0.25">
      <c r="A62" s="23">
        <v>47757</v>
      </c>
      <c r="B62" s="24">
        <v>45931</v>
      </c>
      <c r="C62" s="25">
        <v>2027</v>
      </c>
      <c r="D62" s="25">
        <f t="shared" si="4"/>
        <v>1719.7627254091333</v>
      </c>
      <c r="E62" s="29">
        <f t="shared" si="5"/>
        <v>151264.34754359463</v>
      </c>
      <c r="F62" s="26">
        <f t="shared" si="0"/>
        <v>15.126434754359463</v>
      </c>
      <c r="G62" s="27" t="str">
        <f t="shared" si="1"/>
        <v>✅ Meta atingida</v>
      </c>
      <c r="H62" s="25">
        <f t="shared" si="2"/>
        <v>2660</v>
      </c>
      <c r="I62" s="25">
        <f t="shared" si="3"/>
        <v>2810</v>
      </c>
      <c r="J62" s="25">
        <v>1000</v>
      </c>
    </row>
    <row r="63" spans="1:10" ht="15.75" customHeight="1" x14ac:dyDescent="0.25">
      <c r="A63" s="23">
        <v>47788</v>
      </c>
      <c r="B63" s="28">
        <v>45962</v>
      </c>
      <c r="C63" s="25">
        <v>2028</v>
      </c>
      <c r="D63" s="25">
        <f t="shared" si="4"/>
        <v>1762.8619967513382</v>
      </c>
      <c r="E63" s="29">
        <f t="shared" si="5"/>
        <v>155055.20954034597</v>
      </c>
      <c r="F63" s="26">
        <f t="shared" si="0"/>
        <v>15.505520954034596</v>
      </c>
      <c r="G63" s="27" t="str">
        <f t="shared" si="1"/>
        <v>✅ Meta atingida</v>
      </c>
      <c r="H63" s="25">
        <f t="shared" si="2"/>
        <v>2660</v>
      </c>
      <c r="I63" s="25">
        <f t="shared" si="3"/>
        <v>2810</v>
      </c>
      <c r="J63" s="25">
        <v>1000</v>
      </c>
    </row>
    <row r="64" spans="1:10" ht="15.75" customHeight="1" x14ac:dyDescent="0.25">
      <c r="A64" s="23">
        <v>47818</v>
      </c>
      <c r="B64" s="24">
        <v>45992</v>
      </c>
      <c r="C64" s="25">
        <v>2029</v>
      </c>
      <c r="D64" s="25">
        <f t="shared" si="4"/>
        <v>1806.4684097139786</v>
      </c>
      <c r="E64" s="29">
        <f t="shared" si="5"/>
        <v>158890.67795005994</v>
      </c>
      <c r="F64" s="26">
        <f t="shared" si="0"/>
        <v>15.889067795005994</v>
      </c>
      <c r="G64" s="27" t="str">
        <f t="shared" si="1"/>
        <v>✅ Meta atingida</v>
      </c>
      <c r="H64" s="25">
        <f t="shared" si="2"/>
        <v>2660</v>
      </c>
      <c r="I64" s="25">
        <f t="shared" si="3"/>
        <v>2810</v>
      </c>
      <c r="J64" s="25">
        <v>1000</v>
      </c>
    </row>
    <row r="65" spans="1:10" ht="15.75" customHeight="1" x14ac:dyDescent="0.25">
      <c r="A65" s="23">
        <v>47849</v>
      </c>
      <c r="B65" s="28">
        <v>46023</v>
      </c>
      <c r="C65" s="25">
        <v>2030</v>
      </c>
      <c r="D65" s="25">
        <f t="shared" si="4"/>
        <v>1850.5877964256892</v>
      </c>
      <c r="E65" s="29">
        <f t="shared" si="5"/>
        <v>162771.26574648562</v>
      </c>
      <c r="F65" s="26">
        <f t="shared" si="0"/>
        <v>16.277126574648562</v>
      </c>
      <c r="G65" s="27" t="str">
        <f t="shared" si="1"/>
        <v>✅ Meta atingida</v>
      </c>
      <c r="H65" s="25">
        <f t="shared" si="2"/>
        <v>2660</v>
      </c>
      <c r="I65" s="25">
        <f t="shared" si="3"/>
        <v>2810</v>
      </c>
      <c r="J65" s="25">
        <v>1000</v>
      </c>
    </row>
    <row r="66" spans="1:10" ht="15.75" customHeight="1" x14ac:dyDescent="0.25">
      <c r="A66" s="23">
        <v>47880</v>
      </c>
      <c r="B66" s="24">
        <v>46054</v>
      </c>
      <c r="C66" s="25">
        <v>2031</v>
      </c>
      <c r="D66" s="25">
        <f t="shared" si="4"/>
        <v>1895.2260560845846</v>
      </c>
      <c r="E66" s="29">
        <f t="shared" si="5"/>
        <v>166697.49180257021</v>
      </c>
      <c r="F66" s="26">
        <f t="shared" si="0"/>
        <v>16.669749180257021</v>
      </c>
      <c r="G66" s="27" t="str">
        <f t="shared" si="1"/>
        <v>✅ Meta atingida</v>
      </c>
      <c r="H66" s="25">
        <f t="shared" si="2"/>
        <v>2660</v>
      </c>
      <c r="I66" s="25">
        <f t="shared" si="3"/>
        <v>2810</v>
      </c>
      <c r="J66" s="25">
        <v>1000</v>
      </c>
    </row>
    <row r="67" spans="1:10" ht="15.75" customHeight="1" x14ac:dyDescent="0.25">
      <c r="A67" s="23">
        <v>47908</v>
      </c>
      <c r="B67" s="28">
        <v>46082</v>
      </c>
      <c r="C67" s="25">
        <v>2032</v>
      </c>
      <c r="D67" s="25">
        <f t="shared" si="4"/>
        <v>1940.3891557295574</v>
      </c>
      <c r="E67" s="29">
        <f t="shared" si="5"/>
        <v>170669.88095829976</v>
      </c>
      <c r="F67" s="26">
        <f t="shared" si="0"/>
        <v>17.066988095829977</v>
      </c>
      <c r="G67" s="27" t="str">
        <f t="shared" si="1"/>
        <v>✅ Meta atingida</v>
      </c>
      <c r="H67" s="25">
        <f t="shared" si="2"/>
        <v>2660</v>
      </c>
      <c r="I67" s="25">
        <f t="shared" si="3"/>
        <v>2810</v>
      </c>
      <c r="J67" s="25">
        <v>1000</v>
      </c>
    </row>
    <row r="68" spans="1:10" ht="15.75" customHeight="1" x14ac:dyDescent="0.25">
      <c r="A68" s="23">
        <v>47939</v>
      </c>
      <c r="B68" s="24">
        <v>46113</v>
      </c>
      <c r="C68" s="25">
        <v>2033</v>
      </c>
      <c r="D68" s="25">
        <f t="shared" si="4"/>
        <v>1986.0831310204474</v>
      </c>
      <c r="E68" s="29">
        <f t="shared" si="5"/>
        <v>174688.96408932022</v>
      </c>
      <c r="F68" s="26">
        <f t="shared" si="0"/>
        <v>17.468896408932022</v>
      </c>
      <c r="G68" s="27" t="str">
        <f t="shared" si="1"/>
        <v>✅ Meta atingida</v>
      </c>
      <c r="H68" s="25">
        <f t="shared" si="2"/>
        <v>2660</v>
      </c>
      <c r="I68" s="25">
        <f t="shared" si="3"/>
        <v>2810</v>
      </c>
      <c r="J68" s="25">
        <v>1000</v>
      </c>
    </row>
    <row r="69" spans="1:10" ht="15.75" customHeight="1" x14ac:dyDescent="0.25">
      <c r="A69" s="23">
        <v>47969</v>
      </c>
      <c r="B69" s="28">
        <v>46143</v>
      </c>
      <c r="C69" s="25">
        <v>2034</v>
      </c>
      <c r="D69" s="25">
        <f t="shared" si="4"/>
        <v>2032.3140870271825</v>
      </c>
      <c r="E69" s="29">
        <f t="shared" si="5"/>
        <v>178755.2781763474</v>
      </c>
      <c r="F69" s="26">
        <f t="shared" si="0"/>
        <v>17.87552781763474</v>
      </c>
      <c r="G69" s="27" t="str">
        <f t="shared" si="1"/>
        <v>✅ Meta atingida</v>
      </c>
      <c r="H69" s="25">
        <f t="shared" si="2"/>
        <v>2660</v>
      </c>
      <c r="I69" s="25">
        <f t="shared" si="3"/>
        <v>2810</v>
      </c>
      <c r="J69" s="25">
        <v>1000</v>
      </c>
    </row>
    <row r="70" spans="1:10" ht="15.75" customHeight="1" x14ac:dyDescent="0.25">
      <c r="A70" s="23">
        <v>48000</v>
      </c>
      <c r="B70" s="24">
        <v>46174</v>
      </c>
      <c r="C70" s="25">
        <v>2035</v>
      </c>
      <c r="D70" s="25">
        <f t="shared" si="4"/>
        <v>2079.088199027995</v>
      </c>
      <c r="E70" s="29">
        <f t="shared" si="5"/>
        <v>182869.36637537539</v>
      </c>
      <c r="F70" s="26">
        <f t="shared" si="0"/>
        <v>18.28693663753754</v>
      </c>
      <c r="G70" s="27" t="str">
        <f t="shared" si="1"/>
        <v>✅ Meta atingida</v>
      </c>
      <c r="H70" s="25">
        <f t="shared" si="2"/>
        <v>2660</v>
      </c>
      <c r="I70" s="25">
        <f t="shared" si="3"/>
        <v>2810</v>
      </c>
      <c r="J70" s="25">
        <v>1000</v>
      </c>
    </row>
    <row r="71" spans="1:10" ht="15.75" customHeight="1" x14ac:dyDescent="0.25">
      <c r="A71" s="23">
        <v>48030</v>
      </c>
      <c r="B71" s="24">
        <v>46204</v>
      </c>
      <c r="C71" s="25">
        <v>2036</v>
      </c>
      <c r="D71" s="25">
        <f t="shared" si="4"/>
        <v>2126.411713316817</v>
      </c>
      <c r="E71" s="29">
        <f t="shared" si="5"/>
        <v>187031.7780886922</v>
      </c>
      <c r="F71" s="26">
        <f t="shared" si="0"/>
        <v>18.703177808869221</v>
      </c>
      <c r="G71" s="27" t="str">
        <f t="shared" si="1"/>
        <v>✅ Meta atingida</v>
      </c>
      <c r="H71" s="25">
        <f t="shared" si="2"/>
        <v>2660</v>
      </c>
      <c r="I71" s="25">
        <f t="shared" si="3"/>
        <v>2810</v>
      </c>
      <c r="J71" s="25">
        <v>1000</v>
      </c>
    </row>
    <row r="72" spans="1:10" ht="15.75" customHeight="1" x14ac:dyDescent="0.25">
      <c r="A72" s="23">
        <v>48061</v>
      </c>
      <c r="B72" s="24">
        <v>46235</v>
      </c>
      <c r="C72" s="25">
        <v>2037</v>
      </c>
      <c r="D72" s="25">
        <f t="shared" si="4"/>
        <v>2174.2909480199601</v>
      </c>
      <c r="E72" s="29">
        <f t="shared" si="5"/>
        <v>191243.06903671217</v>
      </c>
      <c r="F72" s="26">
        <f t="shared" si="0"/>
        <v>19.124306903671219</v>
      </c>
      <c r="G72" s="27" t="str">
        <f t="shared" si="1"/>
        <v>✅ Meta atingida</v>
      </c>
      <c r="H72" s="25">
        <f t="shared" si="2"/>
        <v>2660</v>
      </c>
      <c r="I72" s="25">
        <f t="shared" si="3"/>
        <v>2810</v>
      </c>
      <c r="J72" s="25">
        <v>1000</v>
      </c>
    </row>
    <row r="73" spans="1:10" ht="15.75" customHeight="1" x14ac:dyDescent="0.25">
      <c r="A73" s="32" t="s">
        <v>32</v>
      </c>
      <c r="B73" s="33"/>
      <c r="C73" s="34">
        <f t="shared" ref="C73:D73" si="6">SUM(C10:C72)</f>
        <v>130103</v>
      </c>
      <c r="D73" s="34">
        <f t="shared" si="6"/>
        <v>61044.669036712163</v>
      </c>
      <c r="E73" s="34">
        <f t="shared" ref="E73:F73" si="7">E72</f>
        <v>191243.06903671217</v>
      </c>
      <c r="F73" s="35">
        <f t="shared" si="7"/>
        <v>19.124306903671219</v>
      </c>
      <c r="G73" s="32" t="str">
        <f t="shared" si="1"/>
        <v>✅ Meta atingida</v>
      </c>
      <c r="H73" s="3"/>
      <c r="I73" s="3"/>
      <c r="J73" s="34">
        <f>SUM(J10:J72)</f>
        <v>60000</v>
      </c>
    </row>
    <row r="74" spans="1:10" ht="15.75" customHeight="1" x14ac:dyDescent="0.25">
      <c r="A74" s="17"/>
      <c r="B74" s="33"/>
      <c r="C74" s="17"/>
      <c r="D74" s="17"/>
      <c r="E74" s="17"/>
      <c r="F74" s="17"/>
      <c r="G74" s="17"/>
      <c r="H74" s="3"/>
      <c r="I74" s="3"/>
    </row>
    <row r="75" spans="1:10" ht="15.75" customHeight="1" x14ac:dyDescent="0.25">
      <c r="A75" s="17"/>
      <c r="B75" s="33"/>
      <c r="C75" s="17"/>
      <c r="D75" s="17"/>
      <c r="E75" s="17"/>
      <c r="F75" s="17"/>
      <c r="G75" s="17"/>
      <c r="H75" s="3"/>
      <c r="I75" s="3"/>
    </row>
    <row r="76" spans="1:10" ht="15.75" customHeight="1" x14ac:dyDescent="0.25">
      <c r="A76" s="17"/>
      <c r="B76" s="33"/>
      <c r="C76" s="17"/>
      <c r="D76" s="17"/>
      <c r="E76" s="17"/>
      <c r="F76" s="17"/>
      <c r="G76" s="17"/>
      <c r="H76" s="3"/>
      <c r="I76" s="3"/>
    </row>
    <row r="77" spans="1:10" ht="15.75" customHeight="1" x14ac:dyDescent="0.25">
      <c r="A77" s="17"/>
      <c r="B77" s="33"/>
      <c r="C77" s="17"/>
      <c r="D77" s="17"/>
      <c r="E77" s="17"/>
      <c r="F77" s="17"/>
      <c r="G77" s="17"/>
      <c r="H77" s="3"/>
      <c r="I77" s="3"/>
    </row>
    <row r="78" spans="1:10" ht="15.75" customHeight="1" x14ac:dyDescent="0.25">
      <c r="A78" s="17"/>
      <c r="B78" s="33"/>
      <c r="C78" s="17"/>
      <c r="D78" s="17"/>
      <c r="E78" s="17"/>
      <c r="F78" s="17"/>
      <c r="G78" s="17"/>
      <c r="H78" s="3"/>
      <c r="I78" s="3"/>
    </row>
    <row r="79" spans="1:10" ht="15.75" customHeight="1" x14ac:dyDescent="0.25">
      <c r="A79" s="17"/>
      <c r="B79" s="33"/>
      <c r="C79" s="17"/>
      <c r="D79" s="17"/>
      <c r="E79" s="17"/>
      <c r="F79" s="17"/>
      <c r="G79" s="17"/>
      <c r="H79" s="3"/>
      <c r="I79" s="3"/>
    </row>
    <row r="80" spans="1:10" ht="15.75" customHeight="1" x14ac:dyDescent="0.25">
      <c r="A80" s="17"/>
      <c r="B80" s="33"/>
      <c r="C80" s="17"/>
      <c r="D80" s="17"/>
      <c r="E80" s="17"/>
      <c r="F80" s="17"/>
      <c r="G80" s="17"/>
      <c r="H80" s="3"/>
      <c r="I80" s="3"/>
    </row>
    <row r="81" spans="1:9" ht="15.75" customHeight="1" x14ac:dyDescent="0.25">
      <c r="A81" s="17"/>
      <c r="B81" s="33"/>
      <c r="C81" s="17"/>
      <c r="D81" s="17"/>
      <c r="E81" s="17"/>
      <c r="F81" s="17"/>
      <c r="G81" s="17"/>
      <c r="H81" s="3"/>
      <c r="I81" s="3"/>
    </row>
    <row r="82" spans="1:9" ht="15.75" customHeight="1" x14ac:dyDescent="0.25">
      <c r="A82" s="17"/>
      <c r="B82" s="33"/>
      <c r="C82" s="17"/>
      <c r="D82" s="17"/>
      <c r="E82" s="17"/>
      <c r="F82" s="17"/>
      <c r="G82" s="17"/>
      <c r="H82" s="3"/>
      <c r="I82" s="3"/>
    </row>
    <row r="83" spans="1:9" ht="15.75" customHeight="1" x14ac:dyDescent="0.25">
      <c r="A83" s="17"/>
      <c r="B83" s="33"/>
      <c r="C83" s="17"/>
      <c r="D83" s="17"/>
      <c r="E83" s="17"/>
      <c r="F83" s="17"/>
      <c r="G83" s="17"/>
      <c r="H83" s="3"/>
      <c r="I83" s="3"/>
    </row>
    <row r="84" spans="1:9" ht="15.75" customHeight="1" x14ac:dyDescent="0.25">
      <c r="A84" s="17"/>
      <c r="B84" s="17"/>
      <c r="C84" s="17"/>
      <c r="D84" s="17"/>
      <c r="E84" s="17"/>
      <c r="F84" s="17"/>
      <c r="G84" s="17"/>
      <c r="H84" s="3"/>
      <c r="I84" s="3"/>
    </row>
    <row r="85" spans="1:9" ht="15.75" customHeight="1" x14ac:dyDescent="0.25">
      <c r="A85" s="17"/>
      <c r="B85" s="17"/>
      <c r="C85" s="17"/>
      <c r="D85" s="17"/>
      <c r="E85" s="17"/>
      <c r="F85" s="17"/>
      <c r="G85" s="17"/>
      <c r="H85" s="3"/>
      <c r="I85" s="3"/>
    </row>
    <row r="86" spans="1:9" ht="15.75" customHeight="1" x14ac:dyDescent="0.25">
      <c r="A86" s="17"/>
      <c r="B86" s="17"/>
      <c r="C86" s="17"/>
      <c r="D86" s="17"/>
      <c r="E86" s="17"/>
      <c r="F86" s="17"/>
      <c r="G86" s="17"/>
      <c r="H86" s="3"/>
      <c r="I86" s="3"/>
    </row>
    <row r="87" spans="1:9" ht="15.75" customHeight="1" x14ac:dyDescent="0.25">
      <c r="A87" s="17"/>
      <c r="B87" s="17"/>
      <c r="C87" s="17"/>
      <c r="D87" s="17"/>
      <c r="E87" s="17"/>
      <c r="F87" s="17"/>
      <c r="G87" s="17"/>
      <c r="H87" s="3"/>
      <c r="I87" s="3"/>
    </row>
    <row r="88" spans="1:9" ht="15.75" customHeight="1" x14ac:dyDescent="0.25">
      <c r="A88" s="17"/>
      <c r="B88" s="17"/>
      <c r="C88" s="17"/>
      <c r="D88" s="17"/>
      <c r="E88" s="17"/>
      <c r="F88" s="17"/>
      <c r="G88" s="17"/>
      <c r="H88" s="3"/>
      <c r="I88" s="3"/>
    </row>
    <row r="89" spans="1:9" ht="15.75" customHeight="1" x14ac:dyDescent="0.25">
      <c r="A89" s="17"/>
      <c r="B89" s="17"/>
      <c r="C89" s="17"/>
      <c r="D89" s="17"/>
      <c r="E89" s="17"/>
      <c r="F89" s="17"/>
      <c r="G89" s="17"/>
      <c r="H89" s="3"/>
      <c r="I89" s="3"/>
    </row>
    <row r="90" spans="1:9" ht="15.75" customHeight="1" x14ac:dyDescent="0.25">
      <c r="A90" s="17"/>
      <c r="B90" s="17"/>
      <c r="C90" s="17"/>
      <c r="D90" s="17"/>
      <c r="E90" s="17"/>
      <c r="F90" s="17"/>
      <c r="G90" s="17"/>
      <c r="H90" s="3"/>
      <c r="I90" s="3"/>
    </row>
    <row r="91" spans="1:9" ht="15.75" customHeight="1" x14ac:dyDescent="0.25">
      <c r="A91" s="17"/>
      <c r="B91" s="17"/>
      <c r="C91" s="17"/>
      <c r="D91" s="17"/>
      <c r="E91" s="17"/>
      <c r="F91" s="17"/>
      <c r="G91" s="17"/>
      <c r="H91" s="3"/>
      <c r="I91" s="3"/>
    </row>
    <row r="92" spans="1:9" ht="15.75" customHeight="1" x14ac:dyDescent="0.25">
      <c r="A92" s="17"/>
      <c r="B92" s="17"/>
      <c r="C92" s="17"/>
      <c r="D92" s="17"/>
      <c r="E92" s="17"/>
      <c r="F92" s="17"/>
      <c r="G92" s="17"/>
      <c r="H92" s="3"/>
      <c r="I92" s="3"/>
    </row>
    <row r="93" spans="1:9" ht="15.75" customHeight="1" x14ac:dyDescent="0.25">
      <c r="A93" s="17"/>
      <c r="B93" s="17"/>
      <c r="C93" s="17"/>
      <c r="D93" s="17"/>
      <c r="E93" s="17"/>
      <c r="F93" s="17"/>
      <c r="G93" s="17"/>
      <c r="H93" s="3"/>
      <c r="I93" s="3"/>
    </row>
    <row r="94" spans="1:9" ht="15.75" customHeight="1" x14ac:dyDescent="0.25">
      <c r="A94" s="17"/>
      <c r="B94" s="17"/>
      <c r="C94" s="17"/>
      <c r="D94" s="17"/>
      <c r="E94" s="17"/>
      <c r="F94" s="17"/>
      <c r="G94" s="17"/>
      <c r="H94" s="3"/>
      <c r="I94" s="3"/>
    </row>
    <row r="95" spans="1:9" ht="15.75" customHeight="1" x14ac:dyDescent="0.25">
      <c r="A95" s="17"/>
      <c r="B95" s="17"/>
      <c r="C95" s="17"/>
      <c r="D95" s="17"/>
      <c r="E95" s="17"/>
      <c r="F95" s="17"/>
      <c r="G95" s="17"/>
      <c r="H95" s="3"/>
      <c r="I95" s="3"/>
    </row>
    <row r="96" spans="1:9" ht="15.75" customHeight="1" x14ac:dyDescent="0.25">
      <c r="A96" s="17"/>
      <c r="B96" s="17"/>
      <c r="C96" s="17"/>
      <c r="D96" s="17"/>
      <c r="E96" s="17"/>
      <c r="F96" s="17"/>
      <c r="G96" s="17"/>
      <c r="H96" s="3"/>
      <c r="I96" s="3"/>
    </row>
    <row r="97" spans="1:9" ht="15.75" customHeight="1" x14ac:dyDescent="0.25">
      <c r="A97" s="17"/>
      <c r="B97" s="17"/>
      <c r="C97" s="17"/>
      <c r="D97" s="17"/>
      <c r="E97" s="17"/>
      <c r="F97" s="17"/>
      <c r="G97" s="17"/>
      <c r="H97" s="3"/>
      <c r="I97" s="3"/>
    </row>
    <row r="98" spans="1:9" ht="15.75" customHeight="1" x14ac:dyDescent="0.25">
      <c r="A98" s="17"/>
      <c r="B98" s="17"/>
      <c r="C98" s="17"/>
      <c r="D98" s="17"/>
      <c r="E98" s="17"/>
      <c r="F98" s="17"/>
      <c r="G98" s="17"/>
      <c r="H98" s="3"/>
      <c r="I98" s="3"/>
    </row>
    <row r="99" spans="1:9" ht="15.75" customHeight="1" x14ac:dyDescent="0.25">
      <c r="A99" s="17"/>
      <c r="B99" s="17"/>
      <c r="C99" s="17"/>
      <c r="D99" s="17"/>
      <c r="E99" s="17"/>
      <c r="F99" s="17"/>
      <c r="G99" s="17"/>
      <c r="H99" s="3"/>
      <c r="I99" s="3"/>
    </row>
    <row r="100" spans="1:9" ht="15.75" customHeight="1" x14ac:dyDescent="0.25">
      <c r="A100" s="17"/>
      <c r="B100" s="17"/>
      <c r="C100" s="17"/>
      <c r="D100" s="17"/>
      <c r="E100" s="17"/>
      <c r="F100" s="17"/>
      <c r="G100" s="17"/>
      <c r="H100" s="3"/>
      <c r="I100" s="3"/>
    </row>
  </sheetData>
  <mergeCells count="2">
    <mergeCell ref="A1:G1"/>
    <mergeCell ref="A2:G2"/>
  </mergeCells>
  <pageMargins left="0.75" right="0.75" top="1" bottom="1" header="0" footer="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86AB"/>
  </sheetPr>
  <dimension ref="A1:H100"/>
  <sheetViews>
    <sheetView workbookViewId="0">
      <pane ySplit="3" topLeftCell="A4" activePane="bottomLeft" state="frozen"/>
      <selection pane="bottomLeft" activeCell="A5" sqref="A5:H5"/>
    </sheetView>
  </sheetViews>
  <sheetFormatPr defaultColWidth="14.42578125" defaultRowHeight="15" customHeight="1" x14ac:dyDescent="0.25"/>
  <cols>
    <col min="1" max="1" width="10" customWidth="1"/>
    <col min="2" max="2" width="26" customWidth="1"/>
    <col min="3" max="7" width="16" customWidth="1"/>
    <col min="8" max="8" width="20" customWidth="1"/>
  </cols>
  <sheetData>
    <row r="1" spans="1:8" ht="27.75" customHeight="1" x14ac:dyDescent="0.25">
      <c r="A1" s="163" t="s">
        <v>33</v>
      </c>
      <c r="B1" s="146"/>
      <c r="C1" s="146"/>
      <c r="D1" s="146"/>
      <c r="E1" s="146"/>
      <c r="F1" s="146"/>
      <c r="G1" s="146"/>
      <c r="H1" s="147"/>
    </row>
    <row r="2" spans="1:8" ht="18" customHeight="1" x14ac:dyDescent="0.25">
      <c r="A2" s="164" t="s">
        <v>34</v>
      </c>
      <c r="B2" s="147"/>
      <c r="C2" s="164" t="s">
        <v>35</v>
      </c>
      <c r="D2" s="147"/>
      <c r="E2" s="164" t="s">
        <v>36</v>
      </c>
      <c r="F2" s="147"/>
      <c r="G2" s="164" t="s">
        <v>37</v>
      </c>
      <c r="H2" s="147"/>
    </row>
    <row r="3" spans="1:8" ht="21.75" customHeight="1" x14ac:dyDescent="0.25">
      <c r="A3" s="162">
        <f>E29</f>
        <v>4525</v>
      </c>
      <c r="B3" s="147"/>
      <c r="C3" s="154">
        <f>E19</f>
        <v>2520</v>
      </c>
      <c r="D3" s="147"/>
      <c r="E3" s="160">
        <f>E29-E19</f>
        <v>2005</v>
      </c>
      <c r="F3" s="147"/>
      <c r="G3" s="161">
        <f>IF(E29&gt;0,(E29-E19)/E29,0)</f>
        <v>0.4430939226519337</v>
      </c>
      <c r="H3" s="147"/>
    </row>
    <row r="4" spans="1:8" ht="14.25" customHeight="1" x14ac:dyDescent="0.25">
      <c r="A4" s="17"/>
      <c r="B4" s="17"/>
      <c r="C4" s="17"/>
      <c r="D4" s="17"/>
      <c r="E4" s="17"/>
      <c r="F4" s="17"/>
      <c r="G4" s="17"/>
      <c r="H4" s="17"/>
    </row>
    <row r="5" spans="1:8" ht="19.5" customHeight="1" x14ac:dyDescent="0.25">
      <c r="A5" s="150" t="s">
        <v>38</v>
      </c>
      <c r="B5" s="146"/>
      <c r="C5" s="146"/>
      <c r="D5" s="146"/>
      <c r="E5" s="146"/>
      <c r="F5" s="146"/>
      <c r="G5" s="146"/>
      <c r="H5" s="147"/>
    </row>
    <row r="6" spans="1:8" ht="15" customHeight="1" x14ac:dyDescent="0.25">
      <c r="A6" s="36" t="s">
        <v>22</v>
      </c>
      <c r="B6" s="36" t="s">
        <v>39</v>
      </c>
      <c r="C6" s="36" t="s">
        <v>40</v>
      </c>
      <c r="D6" s="36" t="s">
        <v>41</v>
      </c>
      <c r="E6" s="36" t="s">
        <v>42</v>
      </c>
      <c r="F6" s="36" t="s">
        <v>43</v>
      </c>
      <c r="G6" s="36" t="s">
        <v>44</v>
      </c>
      <c r="H6" s="36"/>
    </row>
    <row r="7" spans="1:8" ht="15" customHeight="1" x14ac:dyDescent="0.25">
      <c r="A7" s="37" t="s">
        <v>45</v>
      </c>
      <c r="B7" s="38" t="s">
        <v>46</v>
      </c>
      <c r="C7" s="37" t="s">
        <v>47</v>
      </c>
      <c r="D7" s="37" t="s">
        <v>48</v>
      </c>
      <c r="E7" s="39">
        <v>86</v>
      </c>
      <c r="F7" s="37"/>
      <c r="G7" s="37"/>
      <c r="H7" s="37"/>
    </row>
    <row r="8" spans="1:8" ht="15" customHeight="1" x14ac:dyDescent="0.25">
      <c r="A8" s="40" t="s">
        <v>45</v>
      </c>
      <c r="B8" s="41" t="s">
        <v>49</v>
      </c>
      <c r="C8" s="40"/>
      <c r="D8" s="40" t="s">
        <v>50</v>
      </c>
      <c r="E8" s="42">
        <v>216</v>
      </c>
      <c r="F8" s="40"/>
      <c r="G8" s="40"/>
      <c r="H8" s="40"/>
    </row>
    <row r="9" spans="1:8" ht="15" customHeight="1" x14ac:dyDescent="0.25">
      <c r="A9" s="37" t="s">
        <v>45</v>
      </c>
      <c r="B9" s="38" t="s">
        <v>51</v>
      </c>
      <c r="C9" s="37"/>
      <c r="D9" s="37" t="s">
        <v>50</v>
      </c>
      <c r="E9" s="39">
        <v>230</v>
      </c>
      <c r="F9" s="37"/>
      <c r="G9" s="37"/>
      <c r="H9" s="37"/>
    </row>
    <row r="10" spans="1:8" ht="15" customHeight="1" x14ac:dyDescent="0.25">
      <c r="A10" s="40" t="s">
        <v>45</v>
      </c>
      <c r="B10" s="41" t="s">
        <v>52</v>
      </c>
      <c r="C10" s="40"/>
      <c r="D10" s="40" t="s">
        <v>50</v>
      </c>
      <c r="E10" s="42">
        <v>95</v>
      </c>
      <c r="F10" s="40"/>
      <c r="G10" s="40"/>
      <c r="H10" s="40"/>
    </row>
    <row r="11" spans="1:8" ht="15" customHeight="1" x14ac:dyDescent="0.25">
      <c r="A11" s="37" t="s">
        <v>45</v>
      </c>
      <c r="B11" s="38" t="s">
        <v>53</v>
      </c>
      <c r="C11" s="37"/>
      <c r="D11" s="37" t="s">
        <v>50</v>
      </c>
      <c r="E11" s="39">
        <v>120</v>
      </c>
      <c r="F11" s="37"/>
      <c r="G11" s="37"/>
      <c r="H11" s="37"/>
    </row>
    <row r="12" spans="1:8" ht="15" customHeight="1" x14ac:dyDescent="0.25">
      <c r="A12" s="40" t="s">
        <v>45</v>
      </c>
      <c r="B12" s="41" t="s">
        <v>54</v>
      </c>
      <c r="C12" s="40"/>
      <c r="D12" s="40" t="s">
        <v>50</v>
      </c>
      <c r="E12" s="42">
        <v>288</v>
      </c>
      <c r="F12" s="40"/>
      <c r="G12" s="40"/>
      <c r="H12" s="40"/>
    </row>
    <row r="13" spans="1:8" ht="15" customHeight="1" x14ac:dyDescent="0.25">
      <c r="A13" s="37" t="s">
        <v>45</v>
      </c>
      <c r="B13" s="38" t="s">
        <v>55</v>
      </c>
      <c r="C13" s="37"/>
      <c r="D13" s="37" t="s">
        <v>50</v>
      </c>
      <c r="E13" s="39">
        <v>135</v>
      </c>
      <c r="F13" s="37"/>
      <c r="G13" s="37"/>
      <c r="H13" s="37"/>
    </row>
    <row r="14" spans="1:8" ht="15" customHeight="1" x14ac:dyDescent="0.25">
      <c r="A14" s="31"/>
      <c r="B14" s="31"/>
      <c r="C14" s="31"/>
      <c r="D14" s="31"/>
      <c r="E14" s="29"/>
      <c r="F14" s="31"/>
      <c r="G14" s="31"/>
      <c r="H14" s="31"/>
    </row>
    <row r="15" spans="1:8" ht="15" customHeight="1" x14ac:dyDescent="0.25">
      <c r="A15" s="31"/>
      <c r="B15" s="31"/>
      <c r="C15" s="31"/>
      <c r="D15" s="31"/>
      <c r="E15" s="29"/>
      <c r="F15" s="31"/>
      <c r="G15" s="31"/>
      <c r="H15" s="31"/>
    </row>
    <row r="16" spans="1:8" ht="15" customHeight="1" x14ac:dyDescent="0.25">
      <c r="A16" s="31"/>
      <c r="B16" s="31"/>
      <c r="C16" s="31"/>
      <c r="D16" s="31"/>
      <c r="E16" s="29"/>
      <c r="F16" s="31"/>
      <c r="G16" s="31"/>
      <c r="H16" s="31"/>
    </row>
    <row r="17" spans="1:8" ht="15" customHeight="1" x14ac:dyDescent="0.25">
      <c r="A17" s="155" t="s">
        <v>56</v>
      </c>
      <c r="B17" s="152"/>
      <c r="C17" s="152"/>
      <c r="D17" s="153"/>
      <c r="E17" s="43">
        <f>SUM(E7:E16)</f>
        <v>1170</v>
      </c>
      <c r="F17" s="44"/>
      <c r="G17" s="44"/>
      <c r="H17" s="44"/>
    </row>
    <row r="18" spans="1:8" ht="15" customHeight="1" x14ac:dyDescent="0.25">
      <c r="A18" s="156" t="s">
        <v>57</v>
      </c>
      <c r="B18" s="152"/>
      <c r="C18" s="152"/>
      <c r="D18" s="153"/>
      <c r="E18" s="45">
        <v>1350</v>
      </c>
      <c r="F18" s="44"/>
      <c r="G18" s="44"/>
      <c r="H18" s="44"/>
    </row>
    <row r="19" spans="1:8" ht="15" customHeight="1" x14ac:dyDescent="0.25">
      <c r="A19" s="157" t="s">
        <v>58</v>
      </c>
      <c r="B19" s="152"/>
      <c r="C19" s="152"/>
      <c r="D19" s="153"/>
      <c r="E19" s="46">
        <f>E17+E18</f>
        <v>2520</v>
      </c>
      <c r="F19" s="47"/>
      <c r="G19" s="47"/>
      <c r="H19" s="47"/>
    </row>
    <row r="20" spans="1:8" ht="14.25" customHeight="1" x14ac:dyDescent="0.25">
      <c r="A20" s="17"/>
      <c r="B20" s="17"/>
      <c r="C20" s="17"/>
      <c r="D20" s="17"/>
      <c r="E20" s="17"/>
      <c r="F20" s="17"/>
      <c r="G20" s="17"/>
      <c r="H20" s="17"/>
    </row>
    <row r="21" spans="1:8" ht="19.5" customHeight="1" x14ac:dyDescent="0.25">
      <c r="A21" s="158" t="s">
        <v>59</v>
      </c>
      <c r="B21" s="146"/>
      <c r="C21" s="146"/>
      <c r="D21" s="146"/>
      <c r="E21" s="146"/>
      <c r="F21" s="146"/>
      <c r="G21" s="146"/>
      <c r="H21" s="147"/>
    </row>
    <row r="22" spans="1:8" ht="15" customHeight="1" x14ac:dyDescent="0.25">
      <c r="A22" s="48" t="s">
        <v>22</v>
      </c>
      <c r="B22" s="48" t="s">
        <v>39</v>
      </c>
      <c r="C22" s="48" t="s">
        <v>40</v>
      </c>
      <c r="D22" s="48" t="s">
        <v>41</v>
      </c>
      <c r="E22" s="48" t="s">
        <v>42</v>
      </c>
      <c r="F22" s="48" t="s">
        <v>60</v>
      </c>
      <c r="G22" s="48" t="s">
        <v>44</v>
      </c>
      <c r="H22" s="48"/>
    </row>
    <row r="23" spans="1:8" ht="15" customHeight="1" x14ac:dyDescent="0.25">
      <c r="A23" s="49" t="s">
        <v>45</v>
      </c>
      <c r="B23" s="50" t="s">
        <v>61</v>
      </c>
      <c r="C23" s="49" t="s">
        <v>62</v>
      </c>
      <c r="D23" s="49" t="s">
        <v>50</v>
      </c>
      <c r="E23" s="51">
        <v>1475</v>
      </c>
      <c r="F23" s="49"/>
      <c r="G23" s="49"/>
      <c r="H23" s="49"/>
    </row>
    <row r="24" spans="1:8" ht="15" customHeight="1" x14ac:dyDescent="0.25">
      <c r="A24" s="52" t="s">
        <v>45</v>
      </c>
      <c r="B24" s="53" t="s">
        <v>63</v>
      </c>
      <c r="C24" s="52" t="s">
        <v>62</v>
      </c>
      <c r="D24" s="52" t="s">
        <v>50</v>
      </c>
      <c r="E24" s="54">
        <v>1300</v>
      </c>
      <c r="F24" s="52"/>
      <c r="G24" s="52"/>
      <c r="H24" s="52"/>
    </row>
    <row r="25" spans="1:8" ht="15" customHeight="1" x14ac:dyDescent="0.25">
      <c r="A25" s="49" t="s">
        <v>45</v>
      </c>
      <c r="B25" s="50" t="s">
        <v>64</v>
      </c>
      <c r="C25" s="49" t="s">
        <v>62</v>
      </c>
      <c r="D25" s="49" t="s">
        <v>50</v>
      </c>
      <c r="E25" s="51">
        <v>1500</v>
      </c>
      <c r="F25" s="49"/>
      <c r="G25" s="49"/>
      <c r="H25" s="49"/>
    </row>
    <row r="26" spans="1:8" ht="15" customHeight="1" x14ac:dyDescent="0.25">
      <c r="A26" s="52" t="s">
        <v>45</v>
      </c>
      <c r="B26" s="53" t="s">
        <v>65</v>
      </c>
      <c r="C26" s="52" t="s">
        <v>62</v>
      </c>
      <c r="D26" s="52" t="s">
        <v>50</v>
      </c>
      <c r="E26" s="54">
        <v>250</v>
      </c>
      <c r="F26" s="52"/>
      <c r="G26" s="52"/>
      <c r="H26" s="52"/>
    </row>
    <row r="27" spans="1:8" ht="15" customHeight="1" x14ac:dyDescent="0.25">
      <c r="A27" s="55"/>
      <c r="B27" s="55"/>
      <c r="C27" s="55"/>
      <c r="D27" s="55"/>
      <c r="E27" s="56"/>
      <c r="F27" s="55"/>
      <c r="G27" s="55"/>
      <c r="H27" s="55"/>
    </row>
    <row r="28" spans="1:8" ht="15" customHeight="1" x14ac:dyDescent="0.25">
      <c r="A28" s="55"/>
      <c r="B28" s="55"/>
      <c r="C28" s="55"/>
      <c r="D28" s="55"/>
      <c r="E28" s="56"/>
      <c r="F28" s="55"/>
      <c r="G28" s="55"/>
      <c r="H28" s="55"/>
    </row>
    <row r="29" spans="1:8" ht="15" customHeight="1" x14ac:dyDescent="0.25">
      <c r="A29" s="157" t="s">
        <v>66</v>
      </c>
      <c r="B29" s="152"/>
      <c r="C29" s="152"/>
      <c r="D29" s="153"/>
      <c r="E29" s="46">
        <f>SUM(E23:E28)</f>
        <v>4525</v>
      </c>
      <c r="F29" s="47"/>
      <c r="G29" s="47"/>
      <c r="H29" s="47"/>
    </row>
    <row r="30" spans="1:8" ht="15.75" customHeight="1" x14ac:dyDescent="0.25">
      <c r="A30" s="17"/>
      <c r="B30" s="17"/>
      <c r="C30" s="17"/>
      <c r="D30" s="17"/>
      <c r="E30" s="17"/>
      <c r="F30" s="17"/>
      <c r="G30" s="17"/>
      <c r="H30" s="17"/>
    </row>
    <row r="31" spans="1:8" ht="19.5" customHeight="1" x14ac:dyDescent="0.25">
      <c r="A31" s="159" t="s">
        <v>67</v>
      </c>
      <c r="B31" s="146"/>
      <c r="C31" s="146"/>
      <c r="D31" s="146"/>
      <c r="E31" s="146"/>
      <c r="F31" s="146"/>
      <c r="G31" s="146"/>
      <c r="H31" s="147"/>
    </row>
    <row r="32" spans="1:8" ht="15" customHeight="1" x14ac:dyDescent="0.25">
      <c r="A32" s="151" t="s">
        <v>68</v>
      </c>
      <c r="B32" s="152"/>
      <c r="C32" s="152"/>
      <c r="D32" s="153"/>
      <c r="E32" s="57">
        <f>E29-E19</f>
        <v>2005</v>
      </c>
      <c r="F32" s="58"/>
      <c r="G32" s="58"/>
      <c r="H32" s="58"/>
    </row>
    <row r="33" spans="1:8" ht="15" customHeight="1" x14ac:dyDescent="0.25">
      <c r="A33" s="151" t="s">
        <v>69</v>
      </c>
      <c r="B33" s="152"/>
      <c r="C33" s="152"/>
      <c r="D33" s="153"/>
      <c r="E33" s="57">
        <f>0.7*(E29-E19)</f>
        <v>1403.5</v>
      </c>
      <c r="F33" s="58"/>
      <c r="G33" s="58"/>
      <c r="H33" s="58"/>
    </row>
    <row r="34" spans="1:8" ht="15" customHeight="1" x14ac:dyDescent="0.25">
      <c r="A34" s="151" t="s">
        <v>70</v>
      </c>
      <c r="B34" s="152"/>
      <c r="C34" s="152"/>
      <c r="D34" s="153"/>
      <c r="E34" s="57">
        <f>E19/6</f>
        <v>420</v>
      </c>
      <c r="F34" s="58"/>
      <c r="G34" s="58"/>
      <c r="H34" s="58"/>
    </row>
    <row r="35" spans="1:8" ht="15.75" customHeight="1" x14ac:dyDescent="0.25">
      <c r="A35" s="17"/>
      <c r="B35" s="17"/>
      <c r="C35" s="17"/>
      <c r="D35" s="17"/>
      <c r="E35" s="17"/>
      <c r="F35" s="17"/>
      <c r="G35" s="17"/>
      <c r="H35" s="17"/>
    </row>
    <row r="36" spans="1:8" ht="15.75" customHeight="1" x14ac:dyDescent="0.25">
      <c r="A36" s="17"/>
      <c r="B36" s="17"/>
      <c r="C36" s="17"/>
      <c r="D36" s="17"/>
      <c r="E36" s="17"/>
      <c r="F36" s="17"/>
      <c r="G36" s="17"/>
      <c r="H36" s="17"/>
    </row>
    <row r="37" spans="1:8" ht="15.75" customHeight="1" x14ac:dyDescent="0.25">
      <c r="A37" s="17"/>
      <c r="B37" s="17"/>
      <c r="C37" s="17"/>
      <c r="D37" s="17"/>
      <c r="E37" s="17"/>
      <c r="F37" s="17"/>
      <c r="G37" s="17"/>
      <c r="H37" s="17"/>
    </row>
    <row r="38" spans="1:8" ht="15.75" customHeight="1" x14ac:dyDescent="0.25">
      <c r="A38" s="17"/>
      <c r="B38" s="17"/>
      <c r="C38" s="17"/>
      <c r="D38" s="17"/>
      <c r="E38" s="17"/>
      <c r="F38" s="17"/>
      <c r="G38" s="17"/>
      <c r="H38" s="17"/>
    </row>
    <row r="39" spans="1:8" ht="15.75" customHeight="1" x14ac:dyDescent="0.25">
      <c r="A39" s="17"/>
      <c r="B39" s="17"/>
      <c r="C39" s="17"/>
      <c r="D39" s="17"/>
      <c r="E39" s="17"/>
      <c r="F39" s="17"/>
      <c r="G39" s="17"/>
      <c r="H39" s="17"/>
    </row>
    <row r="40" spans="1:8" ht="15.75" customHeight="1" x14ac:dyDescent="0.25">
      <c r="A40" s="17"/>
      <c r="B40" s="17"/>
      <c r="C40" s="17"/>
      <c r="D40" s="17"/>
      <c r="E40" s="17"/>
      <c r="F40" s="17"/>
      <c r="G40" s="17"/>
      <c r="H40" s="17"/>
    </row>
    <row r="41" spans="1:8" ht="15.75" customHeight="1" x14ac:dyDescent="0.25">
      <c r="A41" s="17"/>
      <c r="B41" s="17"/>
      <c r="C41" s="17"/>
      <c r="D41" s="17"/>
      <c r="E41" s="17"/>
      <c r="F41" s="17"/>
      <c r="G41" s="17"/>
      <c r="H41" s="17"/>
    </row>
    <row r="42" spans="1:8" ht="15.75" customHeight="1" x14ac:dyDescent="0.25">
      <c r="A42" s="17"/>
      <c r="B42" s="17"/>
      <c r="C42" s="17"/>
      <c r="D42" s="17"/>
      <c r="E42" s="17"/>
      <c r="F42" s="17"/>
      <c r="G42" s="17"/>
      <c r="H42" s="17"/>
    </row>
    <row r="43" spans="1:8" ht="15.75" customHeight="1" x14ac:dyDescent="0.25">
      <c r="A43" s="17"/>
      <c r="B43" s="17"/>
      <c r="C43" s="17"/>
      <c r="D43" s="17"/>
      <c r="E43" s="17"/>
      <c r="F43" s="17"/>
      <c r="G43" s="17"/>
      <c r="H43" s="17"/>
    </row>
    <row r="44" spans="1:8" ht="15.75" customHeight="1" x14ac:dyDescent="0.25">
      <c r="A44" s="17"/>
      <c r="B44" s="17"/>
      <c r="C44" s="17"/>
      <c r="D44" s="17"/>
      <c r="E44" s="17"/>
      <c r="F44" s="17"/>
      <c r="G44" s="17"/>
      <c r="H44" s="17"/>
    </row>
    <row r="45" spans="1:8" ht="15.75" customHeight="1" x14ac:dyDescent="0.25">
      <c r="A45" s="17"/>
      <c r="B45" s="17"/>
      <c r="C45" s="17"/>
      <c r="D45" s="17"/>
      <c r="E45" s="17"/>
      <c r="F45" s="17"/>
      <c r="G45" s="17"/>
      <c r="H45" s="17"/>
    </row>
    <row r="46" spans="1:8" ht="15.75" customHeight="1" x14ac:dyDescent="0.25">
      <c r="A46" s="17"/>
      <c r="B46" s="17"/>
      <c r="C46" s="17"/>
      <c r="D46" s="17"/>
      <c r="E46" s="17"/>
      <c r="F46" s="17"/>
      <c r="G46" s="17"/>
      <c r="H46" s="17"/>
    </row>
    <row r="47" spans="1:8" ht="15.75" customHeight="1" x14ac:dyDescent="0.25">
      <c r="A47" s="17"/>
      <c r="B47" s="17"/>
      <c r="C47" s="17"/>
      <c r="D47" s="17"/>
      <c r="E47" s="17"/>
      <c r="F47" s="17"/>
      <c r="G47" s="17"/>
      <c r="H47" s="17"/>
    </row>
    <row r="48" spans="1:8" ht="15.75" customHeight="1" x14ac:dyDescent="0.25">
      <c r="A48" s="17"/>
      <c r="B48" s="17"/>
      <c r="C48" s="17"/>
      <c r="D48" s="17"/>
      <c r="E48" s="17"/>
      <c r="F48" s="17"/>
      <c r="G48" s="17"/>
      <c r="H48" s="17"/>
    </row>
    <row r="49" spans="1:8" ht="15.75" customHeight="1" x14ac:dyDescent="0.25">
      <c r="A49" s="17"/>
      <c r="B49" s="17"/>
      <c r="C49" s="17"/>
      <c r="D49" s="17"/>
      <c r="E49" s="17"/>
      <c r="F49" s="17"/>
      <c r="G49" s="17"/>
      <c r="H49" s="17"/>
    </row>
    <row r="50" spans="1:8" ht="15.75" customHeight="1" x14ac:dyDescent="0.25">
      <c r="A50" s="17"/>
      <c r="B50" s="17"/>
      <c r="C50" s="17"/>
      <c r="D50" s="17"/>
      <c r="E50" s="17"/>
      <c r="F50" s="17"/>
      <c r="G50" s="17"/>
      <c r="H50" s="17"/>
    </row>
    <row r="51" spans="1:8" ht="15.75" customHeight="1" x14ac:dyDescent="0.25">
      <c r="A51" s="17"/>
      <c r="B51" s="17"/>
      <c r="C51" s="17"/>
      <c r="D51" s="17"/>
      <c r="E51" s="17"/>
      <c r="F51" s="17"/>
      <c r="G51" s="17"/>
      <c r="H51" s="17"/>
    </row>
    <row r="52" spans="1:8" ht="15.75" customHeight="1" x14ac:dyDescent="0.25">
      <c r="A52" s="17"/>
      <c r="B52" s="17"/>
      <c r="C52" s="17"/>
      <c r="D52" s="17"/>
      <c r="E52" s="17"/>
      <c r="F52" s="17"/>
      <c r="G52" s="17"/>
      <c r="H52" s="17"/>
    </row>
    <row r="53" spans="1:8" ht="15.75" customHeight="1" x14ac:dyDescent="0.25">
      <c r="A53" s="17"/>
      <c r="B53" s="17"/>
      <c r="C53" s="17"/>
      <c r="D53" s="17"/>
      <c r="E53" s="17"/>
      <c r="F53" s="17"/>
      <c r="G53" s="17"/>
      <c r="H53" s="17"/>
    </row>
    <row r="54" spans="1:8" ht="15.75" customHeight="1" x14ac:dyDescent="0.25">
      <c r="A54" s="17"/>
      <c r="B54" s="17"/>
      <c r="C54" s="17"/>
      <c r="D54" s="17"/>
      <c r="E54" s="17"/>
      <c r="F54" s="17"/>
      <c r="G54" s="17"/>
      <c r="H54" s="17"/>
    </row>
    <row r="55" spans="1:8" ht="15.75" customHeight="1" x14ac:dyDescent="0.25">
      <c r="A55" s="17"/>
      <c r="B55" s="17"/>
      <c r="C55" s="17"/>
      <c r="D55" s="17"/>
      <c r="E55" s="17"/>
      <c r="F55" s="17"/>
      <c r="G55" s="17"/>
      <c r="H55" s="17"/>
    </row>
    <row r="56" spans="1:8" ht="15.75" customHeight="1" x14ac:dyDescent="0.25">
      <c r="A56" s="17"/>
      <c r="B56" s="17"/>
      <c r="C56" s="17"/>
      <c r="D56" s="17"/>
      <c r="E56" s="17"/>
      <c r="F56" s="17"/>
      <c r="G56" s="17"/>
      <c r="H56" s="17"/>
    </row>
    <row r="57" spans="1:8" ht="15.75" customHeight="1" x14ac:dyDescent="0.25">
      <c r="A57" s="17"/>
      <c r="B57" s="17"/>
      <c r="C57" s="17"/>
      <c r="D57" s="17"/>
      <c r="E57" s="17"/>
      <c r="F57" s="17"/>
      <c r="G57" s="17"/>
      <c r="H57" s="17"/>
    </row>
    <row r="58" spans="1:8" ht="15.75" customHeight="1" x14ac:dyDescent="0.25">
      <c r="A58" s="17"/>
      <c r="B58" s="17"/>
      <c r="C58" s="17"/>
      <c r="D58" s="17"/>
      <c r="E58" s="17"/>
      <c r="F58" s="17"/>
      <c r="G58" s="17"/>
      <c r="H58" s="17"/>
    </row>
    <row r="59" spans="1:8" ht="15.75" customHeight="1" x14ac:dyDescent="0.25">
      <c r="A59" s="17"/>
      <c r="B59" s="17"/>
      <c r="C59" s="17"/>
      <c r="D59" s="17"/>
      <c r="E59" s="17"/>
      <c r="F59" s="17"/>
      <c r="G59" s="17"/>
      <c r="H59" s="17"/>
    </row>
    <row r="60" spans="1:8" ht="15.75" customHeight="1" x14ac:dyDescent="0.25">
      <c r="A60" s="17"/>
      <c r="B60" s="17"/>
      <c r="C60" s="17"/>
      <c r="D60" s="17"/>
      <c r="E60" s="17"/>
      <c r="F60" s="17"/>
      <c r="G60" s="17"/>
      <c r="H60" s="17"/>
    </row>
    <row r="61" spans="1:8" ht="15.75" customHeight="1" x14ac:dyDescent="0.25">
      <c r="A61" s="17"/>
      <c r="B61" s="17"/>
      <c r="C61" s="17"/>
      <c r="D61" s="17"/>
      <c r="E61" s="17"/>
      <c r="F61" s="17"/>
      <c r="G61" s="17"/>
      <c r="H61" s="17"/>
    </row>
    <row r="62" spans="1:8" ht="15.75" customHeight="1" x14ac:dyDescent="0.25">
      <c r="A62" s="17"/>
      <c r="B62" s="17"/>
      <c r="C62" s="17"/>
      <c r="D62" s="17"/>
      <c r="E62" s="17"/>
      <c r="F62" s="17"/>
      <c r="G62" s="17"/>
      <c r="H62" s="17"/>
    </row>
    <row r="63" spans="1:8" ht="15.75" customHeight="1" x14ac:dyDescent="0.25">
      <c r="A63" s="17"/>
      <c r="B63" s="17"/>
      <c r="C63" s="17"/>
      <c r="D63" s="17"/>
      <c r="E63" s="17"/>
      <c r="F63" s="17"/>
      <c r="G63" s="17"/>
      <c r="H63" s="17"/>
    </row>
    <row r="64" spans="1:8" ht="15.75" customHeight="1" x14ac:dyDescent="0.25">
      <c r="A64" s="17"/>
      <c r="B64" s="17"/>
      <c r="C64" s="17"/>
      <c r="D64" s="17"/>
      <c r="E64" s="17"/>
      <c r="F64" s="17"/>
      <c r="G64" s="17"/>
      <c r="H64" s="17"/>
    </row>
    <row r="65" spans="1:8" ht="15.75" customHeight="1" x14ac:dyDescent="0.25">
      <c r="A65" s="17"/>
      <c r="B65" s="17"/>
      <c r="C65" s="17"/>
      <c r="D65" s="17"/>
      <c r="E65" s="17"/>
      <c r="F65" s="17"/>
      <c r="G65" s="17"/>
      <c r="H65" s="17"/>
    </row>
    <row r="66" spans="1:8" ht="15.75" customHeight="1" x14ac:dyDescent="0.25">
      <c r="A66" s="17"/>
      <c r="B66" s="17"/>
      <c r="C66" s="17"/>
      <c r="D66" s="17"/>
      <c r="E66" s="17"/>
      <c r="F66" s="17"/>
      <c r="G66" s="17"/>
      <c r="H66" s="17"/>
    </row>
    <row r="67" spans="1:8" ht="15.75" customHeight="1" x14ac:dyDescent="0.25">
      <c r="A67" s="17"/>
      <c r="B67" s="17"/>
      <c r="C67" s="17"/>
      <c r="D67" s="17"/>
      <c r="E67" s="17"/>
      <c r="F67" s="17"/>
      <c r="G67" s="17"/>
      <c r="H67" s="17"/>
    </row>
    <row r="68" spans="1:8" ht="15.75" customHeight="1" x14ac:dyDescent="0.25">
      <c r="A68" s="17"/>
      <c r="B68" s="17"/>
      <c r="C68" s="17"/>
      <c r="D68" s="17"/>
      <c r="E68" s="17"/>
      <c r="F68" s="17"/>
      <c r="G68" s="17"/>
      <c r="H68" s="17"/>
    </row>
    <row r="69" spans="1:8" ht="15.75" customHeight="1" x14ac:dyDescent="0.25">
      <c r="A69" s="17"/>
      <c r="B69" s="17"/>
      <c r="C69" s="17"/>
      <c r="D69" s="17"/>
      <c r="E69" s="17"/>
      <c r="F69" s="17"/>
      <c r="G69" s="17"/>
      <c r="H69" s="17"/>
    </row>
    <row r="70" spans="1:8" ht="15.75" customHeight="1" x14ac:dyDescent="0.25">
      <c r="A70" s="17"/>
      <c r="B70" s="17"/>
      <c r="C70" s="17"/>
      <c r="D70" s="17"/>
      <c r="E70" s="17"/>
      <c r="F70" s="17"/>
      <c r="G70" s="17"/>
      <c r="H70" s="17"/>
    </row>
    <row r="71" spans="1:8" ht="15.75" customHeight="1" x14ac:dyDescent="0.25">
      <c r="A71" s="17"/>
      <c r="B71" s="17"/>
      <c r="C71" s="17"/>
      <c r="D71" s="17"/>
      <c r="E71" s="17"/>
      <c r="F71" s="17"/>
      <c r="G71" s="17"/>
      <c r="H71" s="17"/>
    </row>
    <row r="72" spans="1:8" ht="15.75" customHeight="1" x14ac:dyDescent="0.25">
      <c r="A72" s="17"/>
      <c r="B72" s="17"/>
      <c r="C72" s="17"/>
      <c r="D72" s="17"/>
      <c r="E72" s="17"/>
      <c r="F72" s="17"/>
      <c r="G72" s="17"/>
      <c r="H72" s="17"/>
    </row>
    <row r="73" spans="1:8" ht="15.75" customHeight="1" x14ac:dyDescent="0.25">
      <c r="A73" s="17"/>
      <c r="B73" s="17"/>
      <c r="C73" s="17"/>
      <c r="D73" s="17"/>
      <c r="E73" s="17"/>
      <c r="F73" s="17"/>
      <c r="G73" s="17"/>
      <c r="H73" s="17"/>
    </row>
    <row r="74" spans="1:8" ht="15.75" customHeight="1" x14ac:dyDescent="0.25">
      <c r="A74" s="17"/>
      <c r="B74" s="17"/>
      <c r="C74" s="17"/>
      <c r="D74" s="17"/>
      <c r="E74" s="17"/>
      <c r="F74" s="17"/>
      <c r="G74" s="17"/>
      <c r="H74" s="17"/>
    </row>
    <row r="75" spans="1:8" ht="15.75" customHeight="1" x14ac:dyDescent="0.25">
      <c r="A75" s="17"/>
      <c r="B75" s="17"/>
      <c r="C75" s="17"/>
      <c r="D75" s="17"/>
      <c r="E75" s="17"/>
      <c r="F75" s="17"/>
      <c r="G75" s="17"/>
      <c r="H75" s="17"/>
    </row>
    <row r="76" spans="1:8" ht="15.75" customHeight="1" x14ac:dyDescent="0.25">
      <c r="A76" s="17"/>
      <c r="B76" s="17"/>
      <c r="C76" s="17"/>
      <c r="D76" s="17"/>
      <c r="E76" s="17"/>
      <c r="F76" s="17"/>
      <c r="G76" s="17"/>
      <c r="H76" s="17"/>
    </row>
    <row r="77" spans="1:8" ht="15.75" customHeight="1" x14ac:dyDescent="0.25">
      <c r="A77" s="17"/>
      <c r="B77" s="17"/>
      <c r="C77" s="17"/>
      <c r="D77" s="17"/>
      <c r="E77" s="17"/>
      <c r="F77" s="17"/>
      <c r="G77" s="17"/>
      <c r="H77" s="17"/>
    </row>
    <row r="78" spans="1:8" ht="15.75" customHeight="1" x14ac:dyDescent="0.25">
      <c r="A78" s="17"/>
      <c r="B78" s="17"/>
      <c r="C78" s="17"/>
      <c r="D78" s="17"/>
      <c r="E78" s="17"/>
      <c r="F78" s="17"/>
      <c r="G78" s="17"/>
      <c r="H78" s="17"/>
    </row>
    <row r="79" spans="1:8" ht="15.75" customHeight="1" x14ac:dyDescent="0.25">
      <c r="A79" s="17"/>
      <c r="B79" s="17"/>
      <c r="C79" s="17"/>
      <c r="D79" s="17"/>
      <c r="E79" s="17"/>
      <c r="F79" s="17"/>
      <c r="G79" s="17"/>
      <c r="H79" s="17"/>
    </row>
    <row r="80" spans="1:8" ht="15.75" customHeight="1" x14ac:dyDescent="0.25">
      <c r="A80" s="17"/>
      <c r="B80" s="17"/>
      <c r="C80" s="17"/>
      <c r="D80" s="17"/>
      <c r="E80" s="17"/>
      <c r="F80" s="17"/>
      <c r="G80" s="17"/>
      <c r="H80" s="17"/>
    </row>
    <row r="81" spans="1:8" ht="15.75" customHeight="1" x14ac:dyDescent="0.25">
      <c r="A81" s="17"/>
      <c r="B81" s="17"/>
      <c r="C81" s="17"/>
      <c r="D81" s="17"/>
      <c r="E81" s="17"/>
      <c r="F81" s="17"/>
      <c r="G81" s="17"/>
      <c r="H81" s="17"/>
    </row>
    <row r="82" spans="1:8" ht="15.75" customHeight="1" x14ac:dyDescent="0.25">
      <c r="A82" s="17"/>
      <c r="B82" s="17"/>
      <c r="C82" s="17"/>
      <c r="D82" s="17"/>
      <c r="E82" s="17"/>
      <c r="F82" s="17"/>
      <c r="G82" s="17"/>
      <c r="H82" s="17"/>
    </row>
    <row r="83" spans="1:8" ht="15.75" customHeight="1" x14ac:dyDescent="0.25">
      <c r="A83" s="17"/>
      <c r="B83" s="17"/>
      <c r="C83" s="17"/>
      <c r="D83" s="17"/>
      <c r="E83" s="17"/>
      <c r="F83" s="17"/>
      <c r="G83" s="17"/>
      <c r="H83" s="17"/>
    </row>
    <row r="84" spans="1:8" ht="15.75" customHeight="1" x14ac:dyDescent="0.25">
      <c r="A84" s="17"/>
      <c r="B84" s="17"/>
      <c r="C84" s="17"/>
      <c r="D84" s="17"/>
      <c r="E84" s="17"/>
      <c r="F84" s="17"/>
      <c r="G84" s="17"/>
      <c r="H84" s="17"/>
    </row>
    <row r="85" spans="1:8" ht="15.75" customHeight="1" x14ac:dyDescent="0.25">
      <c r="A85" s="17"/>
      <c r="B85" s="17"/>
      <c r="C85" s="17"/>
      <c r="D85" s="17"/>
      <c r="E85" s="17"/>
      <c r="F85" s="17"/>
      <c r="G85" s="17"/>
      <c r="H85" s="17"/>
    </row>
    <row r="86" spans="1:8" ht="15.75" customHeight="1" x14ac:dyDescent="0.25">
      <c r="A86" s="17"/>
      <c r="B86" s="17"/>
      <c r="C86" s="17"/>
      <c r="D86" s="17"/>
      <c r="E86" s="17"/>
      <c r="F86" s="17"/>
      <c r="G86" s="17"/>
      <c r="H86" s="17"/>
    </row>
    <row r="87" spans="1:8" ht="15.75" customHeight="1" x14ac:dyDescent="0.25">
      <c r="A87" s="17"/>
      <c r="B87" s="17"/>
      <c r="C87" s="17"/>
      <c r="D87" s="17"/>
      <c r="E87" s="17"/>
      <c r="F87" s="17"/>
      <c r="G87" s="17"/>
      <c r="H87" s="17"/>
    </row>
    <row r="88" spans="1:8" ht="15.75" customHeight="1" x14ac:dyDescent="0.25">
      <c r="A88" s="17"/>
      <c r="B88" s="17"/>
      <c r="C88" s="17"/>
      <c r="D88" s="17"/>
      <c r="E88" s="17"/>
      <c r="F88" s="17"/>
      <c r="G88" s="17"/>
      <c r="H88" s="17"/>
    </row>
    <row r="89" spans="1:8" ht="15.75" customHeight="1" x14ac:dyDescent="0.25">
      <c r="A89" s="17"/>
      <c r="B89" s="17"/>
      <c r="C89" s="17"/>
      <c r="D89" s="17"/>
      <c r="E89" s="17"/>
      <c r="F89" s="17"/>
      <c r="G89" s="17"/>
      <c r="H89" s="17"/>
    </row>
    <row r="90" spans="1:8" ht="15.75" customHeight="1" x14ac:dyDescent="0.25">
      <c r="A90" s="17"/>
      <c r="B90" s="17"/>
      <c r="C90" s="17"/>
      <c r="D90" s="17"/>
      <c r="E90" s="17"/>
      <c r="F90" s="17"/>
      <c r="G90" s="17"/>
      <c r="H90" s="17"/>
    </row>
    <row r="91" spans="1:8" ht="15.75" customHeight="1" x14ac:dyDescent="0.25">
      <c r="A91" s="17"/>
      <c r="B91" s="17"/>
      <c r="C91" s="17"/>
      <c r="D91" s="17"/>
      <c r="E91" s="17"/>
      <c r="F91" s="17"/>
      <c r="G91" s="17"/>
      <c r="H91" s="17"/>
    </row>
    <row r="92" spans="1:8" ht="15.75" customHeight="1" x14ac:dyDescent="0.25">
      <c r="A92" s="17"/>
      <c r="B92" s="17"/>
      <c r="C92" s="17"/>
      <c r="D92" s="17"/>
      <c r="E92" s="17"/>
      <c r="F92" s="17"/>
      <c r="G92" s="17"/>
      <c r="H92" s="17"/>
    </row>
    <row r="93" spans="1:8" ht="15.75" customHeight="1" x14ac:dyDescent="0.25">
      <c r="A93" s="17"/>
      <c r="B93" s="17"/>
      <c r="C93" s="17"/>
      <c r="D93" s="17"/>
      <c r="E93" s="17"/>
      <c r="F93" s="17"/>
      <c r="G93" s="17"/>
      <c r="H93" s="17"/>
    </row>
    <row r="94" spans="1:8" ht="15.75" customHeight="1" x14ac:dyDescent="0.25">
      <c r="A94" s="17"/>
      <c r="B94" s="17"/>
      <c r="C94" s="17"/>
      <c r="D94" s="17"/>
      <c r="E94" s="17"/>
      <c r="F94" s="17"/>
      <c r="G94" s="17"/>
      <c r="H94" s="17"/>
    </row>
    <row r="95" spans="1:8" ht="15.75" customHeight="1" x14ac:dyDescent="0.25">
      <c r="A95" s="17"/>
      <c r="B95" s="17"/>
      <c r="C95" s="17"/>
      <c r="D95" s="17"/>
      <c r="E95" s="17"/>
      <c r="F95" s="17"/>
      <c r="G95" s="17"/>
      <c r="H95" s="17"/>
    </row>
    <row r="96" spans="1:8" ht="15.75" customHeight="1" x14ac:dyDescent="0.25">
      <c r="A96" s="17"/>
      <c r="B96" s="17"/>
      <c r="C96" s="17"/>
      <c r="D96" s="17"/>
      <c r="E96" s="17"/>
      <c r="F96" s="17"/>
      <c r="G96" s="17"/>
      <c r="H96" s="17"/>
    </row>
    <row r="97" spans="1:8" ht="15.75" customHeight="1" x14ac:dyDescent="0.25">
      <c r="A97" s="17"/>
      <c r="B97" s="17"/>
      <c r="C97" s="17"/>
      <c r="D97" s="17"/>
      <c r="E97" s="17"/>
      <c r="F97" s="17"/>
      <c r="G97" s="17"/>
      <c r="H97" s="17"/>
    </row>
    <row r="98" spans="1:8" ht="15.75" customHeight="1" x14ac:dyDescent="0.25">
      <c r="A98" s="17"/>
      <c r="B98" s="17"/>
      <c r="C98" s="17"/>
      <c r="D98" s="17"/>
      <c r="E98" s="17"/>
      <c r="F98" s="17"/>
      <c r="G98" s="17"/>
      <c r="H98" s="17"/>
    </row>
    <row r="99" spans="1:8" ht="15.75" customHeight="1" x14ac:dyDescent="0.25">
      <c r="A99" s="17"/>
      <c r="B99" s="17"/>
      <c r="C99" s="17"/>
      <c r="D99" s="17"/>
      <c r="E99" s="17"/>
      <c r="F99" s="17"/>
      <c r="G99" s="17"/>
      <c r="H99" s="17"/>
    </row>
    <row r="100" spans="1:8" ht="15.75" customHeight="1" x14ac:dyDescent="0.25">
      <c r="A100" s="17"/>
      <c r="B100" s="17"/>
      <c r="C100" s="17"/>
      <c r="D100" s="17"/>
      <c r="E100" s="17"/>
      <c r="F100" s="17"/>
      <c r="G100" s="17"/>
      <c r="H100" s="17"/>
    </row>
  </sheetData>
  <mergeCells count="19">
    <mergeCell ref="A1:H1"/>
    <mergeCell ref="A2:B2"/>
    <mergeCell ref="C2:D2"/>
    <mergeCell ref="E2:F2"/>
    <mergeCell ref="G2:H2"/>
    <mergeCell ref="A5:H5"/>
    <mergeCell ref="A32:D32"/>
    <mergeCell ref="A33:D33"/>
    <mergeCell ref="A34:D34"/>
    <mergeCell ref="C3:D3"/>
    <mergeCell ref="A17:D17"/>
    <mergeCell ref="A18:D18"/>
    <mergeCell ref="A19:D19"/>
    <mergeCell ref="A21:H21"/>
    <mergeCell ref="A29:D29"/>
    <mergeCell ref="A31:H31"/>
    <mergeCell ref="E3:F3"/>
    <mergeCell ref="G3:H3"/>
    <mergeCell ref="A3:B3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23B72"/>
  </sheetPr>
  <dimension ref="A1:H100"/>
  <sheetViews>
    <sheetView workbookViewId="0">
      <pane ySplit="3" topLeftCell="A4" activePane="bottomLeft" state="frozen"/>
      <selection pane="bottomLeft" activeCell="A5" sqref="A5:H5"/>
    </sheetView>
  </sheetViews>
  <sheetFormatPr defaultColWidth="14.42578125" defaultRowHeight="15" customHeight="1" x14ac:dyDescent="0.25"/>
  <cols>
    <col min="1" max="1" width="10" customWidth="1"/>
    <col min="2" max="2" width="26" customWidth="1"/>
    <col min="3" max="7" width="16" customWidth="1"/>
    <col min="8" max="8" width="20" customWidth="1"/>
  </cols>
  <sheetData>
    <row r="1" spans="1:8" ht="27.75" customHeight="1" x14ac:dyDescent="0.25">
      <c r="A1" s="163" t="s">
        <v>71</v>
      </c>
      <c r="B1" s="146"/>
      <c r="C1" s="146"/>
      <c r="D1" s="146"/>
      <c r="E1" s="146"/>
      <c r="F1" s="146"/>
      <c r="G1" s="146"/>
      <c r="H1" s="147"/>
    </row>
    <row r="2" spans="1:8" ht="18" customHeight="1" x14ac:dyDescent="0.25">
      <c r="A2" s="164" t="s">
        <v>34</v>
      </c>
      <c r="B2" s="147"/>
      <c r="C2" s="164" t="s">
        <v>35</v>
      </c>
      <c r="D2" s="147"/>
      <c r="E2" s="164" t="s">
        <v>36</v>
      </c>
      <c r="F2" s="147"/>
      <c r="G2" s="164" t="s">
        <v>37</v>
      </c>
      <c r="H2" s="147"/>
    </row>
    <row r="3" spans="1:8" ht="21.75" customHeight="1" x14ac:dyDescent="0.25">
      <c r="A3" s="162">
        <f>E30</f>
        <v>4525</v>
      </c>
      <c r="B3" s="147"/>
      <c r="C3" s="154">
        <f>E20</f>
        <v>2665</v>
      </c>
      <c r="D3" s="147"/>
      <c r="E3" s="160">
        <f>E30-E20</f>
        <v>1860</v>
      </c>
      <c r="F3" s="147"/>
      <c r="G3" s="161">
        <f>IF(E30&gt;0,(E30-E20)/E30,0)</f>
        <v>0.41104972375690607</v>
      </c>
      <c r="H3" s="147"/>
    </row>
    <row r="4" spans="1:8" ht="14.25" customHeight="1" x14ac:dyDescent="0.25">
      <c r="A4" s="17"/>
      <c r="B4" s="17"/>
      <c r="C4" s="59"/>
      <c r="D4" s="17"/>
      <c r="E4" s="17"/>
      <c r="F4" s="17"/>
      <c r="G4" s="17"/>
      <c r="H4" s="17"/>
    </row>
    <row r="5" spans="1:8" ht="19.5" customHeight="1" x14ac:dyDescent="0.25">
      <c r="A5" s="150" t="s">
        <v>72</v>
      </c>
      <c r="B5" s="146"/>
      <c r="C5" s="146"/>
      <c r="D5" s="146"/>
      <c r="E5" s="146"/>
      <c r="F5" s="146"/>
      <c r="G5" s="146"/>
      <c r="H5" s="147"/>
    </row>
    <row r="6" spans="1:8" ht="15" customHeight="1" x14ac:dyDescent="0.25">
      <c r="A6" s="36" t="s">
        <v>22</v>
      </c>
      <c r="B6" s="36" t="s">
        <v>39</v>
      </c>
      <c r="C6" s="60" t="s">
        <v>40</v>
      </c>
      <c r="D6" s="36" t="s">
        <v>41</v>
      </c>
      <c r="E6" s="36" t="s">
        <v>42</v>
      </c>
      <c r="F6" s="36" t="s">
        <v>43</v>
      </c>
      <c r="G6" s="36" t="s">
        <v>44</v>
      </c>
      <c r="H6" s="36"/>
    </row>
    <row r="7" spans="1:8" ht="15" customHeight="1" x14ac:dyDescent="0.25">
      <c r="A7" s="61">
        <v>46204</v>
      </c>
      <c r="B7" s="38" t="s">
        <v>46</v>
      </c>
      <c r="C7" s="62">
        <v>0.66666666666666696</v>
      </c>
      <c r="D7" s="37" t="s">
        <v>48</v>
      </c>
      <c r="E7" s="39">
        <v>86</v>
      </c>
      <c r="F7" s="37"/>
      <c r="G7" s="37"/>
      <c r="H7" s="37"/>
    </row>
    <row r="8" spans="1:8" ht="15" customHeight="1" x14ac:dyDescent="0.25">
      <c r="A8" s="61">
        <v>46204</v>
      </c>
      <c r="B8" s="38" t="s">
        <v>73</v>
      </c>
      <c r="C8" s="62">
        <v>0.125</v>
      </c>
      <c r="D8" s="37" t="s">
        <v>48</v>
      </c>
      <c r="E8" s="39">
        <v>145</v>
      </c>
      <c r="F8" s="37"/>
      <c r="G8" s="37"/>
      <c r="H8" s="37"/>
    </row>
    <row r="9" spans="1:8" ht="15" customHeight="1" x14ac:dyDescent="0.25">
      <c r="A9" s="61">
        <v>46204</v>
      </c>
      <c r="B9" s="41" t="s">
        <v>49</v>
      </c>
      <c r="C9" s="63"/>
      <c r="D9" s="40" t="s">
        <v>50</v>
      </c>
      <c r="E9" s="42">
        <v>216</v>
      </c>
      <c r="F9" s="40"/>
      <c r="G9" s="40"/>
      <c r="H9" s="40"/>
    </row>
    <row r="10" spans="1:8" ht="15" customHeight="1" x14ac:dyDescent="0.25">
      <c r="A10" s="61">
        <v>46204</v>
      </c>
      <c r="B10" s="38" t="s">
        <v>51</v>
      </c>
      <c r="C10" s="62"/>
      <c r="D10" s="37" t="s">
        <v>50</v>
      </c>
      <c r="E10" s="39">
        <v>230</v>
      </c>
      <c r="F10" s="37"/>
      <c r="G10" s="37"/>
      <c r="H10" s="37"/>
    </row>
    <row r="11" spans="1:8" ht="15" customHeight="1" x14ac:dyDescent="0.25">
      <c r="A11" s="61">
        <v>46204</v>
      </c>
      <c r="B11" s="41" t="s">
        <v>52</v>
      </c>
      <c r="C11" s="63"/>
      <c r="D11" s="40" t="s">
        <v>50</v>
      </c>
      <c r="E11" s="42">
        <v>95</v>
      </c>
      <c r="F11" s="40"/>
      <c r="G11" s="40"/>
      <c r="H11" s="40"/>
    </row>
    <row r="12" spans="1:8" ht="15" customHeight="1" x14ac:dyDescent="0.25">
      <c r="A12" s="61">
        <v>46204</v>
      </c>
      <c r="B12" s="38" t="s">
        <v>53</v>
      </c>
      <c r="C12" s="62"/>
      <c r="D12" s="37" t="s">
        <v>50</v>
      </c>
      <c r="E12" s="39">
        <v>120</v>
      </c>
      <c r="F12" s="37"/>
      <c r="G12" s="37"/>
      <c r="H12" s="37"/>
    </row>
    <row r="13" spans="1:8" ht="15" customHeight="1" x14ac:dyDescent="0.25">
      <c r="A13" s="61">
        <v>46204</v>
      </c>
      <c r="B13" s="41" t="s">
        <v>54</v>
      </c>
      <c r="C13" s="63"/>
      <c r="D13" s="40" t="s">
        <v>50</v>
      </c>
      <c r="E13" s="42">
        <v>288</v>
      </c>
      <c r="F13" s="40"/>
      <c r="G13" s="40"/>
      <c r="H13" s="40"/>
    </row>
    <row r="14" spans="1:8" ht="15" customHeight="1" x14ac:dyDescent="0.25">
      <c r="A14" s="61">
        <v>46204</v>
      </c>
      <c r="B14" s="38" t="s">
        <v>55</v>
      </c>
      <c r="C14" s="62"/>
      <c r="D14" s="37" t="s">
        <v>50</v>
      </c>
      <c r="E14" s="39">
        <v>135</v>
      </c>
      <c r="F14" s="37"/>
      <c r="G14" s="37"/>
      <c r="H14" s="37"/>
    </row>
    <row r="15" spans="1:8" ht="15" customHeight="1" x14ac:dyDescent="0.25">
      <c r="A15" s="31"/>
      <c r="B15" s="31"/>
      <c r="C15" s="64"/>
      <c r="D15" s="31"/>
      <c r="E15" s="29"/>
      <c r="F15" s="31"/>
      <c r="G15" s="31"/>
      <c r="H15" s="31"/>
    </row>
    <row r="16" spans="1:8" ht="15" customHeight="1" x14ac:dyDescent="0.25">
      <c r="A16" s="31"/>
      <c r="B16" s="31"/>
      <c r="C16" s="64"/>
      <c r="D16" s="31"/>
      <c r="E16" s="29"/>
      <c r="F16" s="31"/>
      <c r="G16" s="31"/>
      <c r="H16" s="31"/>
    </row>
    <row r="17" spans="1:8" ht="15" customHeight="1" x14ac:dyDescent="0.25">
      <c r="A17" s="31"/>
      <c r="B17" s="31"/>
      <c r="C17" s="64"/>
      <c r="D17" s="31"/>
      <c r="E17" s="29"/>
      <c r="F17" s="31"/>
      <c r="G17" s="31"/>
      <c r="H17" s="31"/>
    </row>
    <row r="18" spans="1:8" ht="15" customHeight="1" x14ac:dyDescent="0.25">
      <c r="A18" s="155" t="s">
        <v>56</v>
      </c>
      <c r="B18" s="152"/>
      <c r="C18" s="152"/>
      <c r="D18" s="153"/>
      <c r="E18" s="43">
        <f>SUM(E7:E17)</f>
        <v>1315</v>
      </c>
      <c r="F18" s="44"/>
      <c r="G18" s="44"/>
      <c r="H18" s="44"/>
    </row>
    <row r="19" spans="1:8" ht="15" customHeight="1" x14ac:dyDescent="0.25">
      <c r="A19" s="156" t="s">
        <v>57</v>
      </c>
      <c r="B19" s="152"/>
      <c r="C19" s="152"/>
      <c r="D19" s="153"/>
      <c r="E19" s="45">
        <v>1350</v>
      </c>
      <c r="F19" s="44"/>
      <c r="G19" s="44"/>
      <c r="H19" s="44"/>
    </row>
    <row r="20" spans="1:8" ht="15" customHeight="1" x14ac:dyDescent="0.25">
      <c r="A20" s="157" t="s">
        <v>58</v>
      </c>
      <c r="B20" s="152"/>
      <c r="C20" s="152"/>
      <c r="D20" s="153"/>
      <c r="E20" s="46">
        <f>E18+E19</f>
        <v>2665</v>
      </c>
      <c r="F20" s="47"/>
      <c r="G20" s="47"/>
      <c r="H20" s="47"/>
    </row>
    <row r="21" spans="1:8" ht="15.75" customHeight="1" x14ac:dyDescent="0.25">
      <c r="A21" s="17"/>
      <c r="B21" s="17"/>
      <c r="C21" s="59"/>
      <c r="D21" s="17"/>
      <c r="E21" s="17"/>
      <c r="F21" s="17"/>
      <c r="G21" s="17"/>
      <c r="H21" s="17"/>
    </row>
    <row r="22" spans="1:8" ht="19.5" customHeight="1" x14ac:dyDescent="0.25">
      <c r="A22" s="158" t="s">
        <v>74</v>
      </c>
      <c r="B22" s="146"/>
      <c r="C22" s="146"/>
      <c r="D22" s="146"/>
      <c r="E22" s="146"/>
      <c r="F22" s="146"/>
      <c r="G22" s="146"/>
      <c r="H22" s="147"/>
    </row>
    <row r="23" spans="1:8" ht="15" customHeight="1" x14ac:dyDescent="0.25">
      <c r="A23" s="48" t="s">
        <v>22</v>
      </c>
      <c r="B23" s="48" t="s">
        <v>39</v>
      </c>
      <c r="C23" s="65" t="s">
        <v>40</v>
      </c>
      <c r="D23" s="48" t="s">
        <v>41</v>
      </c>
      <c r="E23" s="48" t="s">
        <v>42</v>
      </c>
      <c r="F23" s="48" t="s">
        <v>60</v>
      </c>
      <c r="G23" s="48" t="s">
        <v>44</v>
      </c>
      <c r="H23" s="48"/>
    </row>
    <row r="24" spans="1:8" ht="15" customHeight="1" x14ac:dyDescent="0.25">
      <c r="A24" s="49" t="s">
        <v>75</v>
      </c>
      <c r="B24" s="50" t="s">
        <v>61</v>
      </c>
      <c r="C24" s="66" t="s">
        <v>62</v>
      </c>
      <c r="D24" s="49" t="s">
        <v>50</v>
      </c>
      <c r="E24" s="51">
        <v>1475</v>
      </c>
      <c r="F24" s="49"/>
      <c r="G24" s="49"/>
      <c r="H24" s="49"/>
    </row>
    <row r="25" spans="1:8" ht="15" customHeight="1" x14ac:dyDescent="0.25">
      <c r="A25" s="52" t="s">
        <v>75</v>
      </c>
      <c r="B25" s="53" t="s">
        <v>63</v>
      </c>
      <c r="C25" s="67" t="s">
        <v>62</v>
      </c>
      <c r="D25" s="52" t="s">
        <v>50</v>
      </c>
      <c r="E25" s="54">
        <v>1300</v>
      </c>
      <c r="F25" s="52"/>
      <c r="G25" s="52"/>
      <c r="H25" s="52"/>
    </row>
    <row r="26" spans="1:8" ht="15" customHeight="1" x14ac:dyDescent="0.25">
      <c r="A26" s="49" t="s">
        <v>75</v>
      </c>
      <c r="B26" s="50" t="s">
        <v>64</v>
      </c>
      <c r="C26" s="66" t="s">
        <v>62</v>
      </c>
      <c r="D26" s="49" t="s">
        <v>50</v>
      </c>
      <c r="E26" s="51">
        <v>1500</v>
      </c>
      <c r="F26" s="49"/>
      <c r="G26" s="49"/>
      <c r="H26" s="49"/>
    </row>
    <row r="27" spans="1:8" ht="15" customHeight="1" x14ac:dyDescent="0.25">
      <c r="A27" s="52" t="s">
        <v>75</v>
      </c>
      <c r="B27" s="53" t="s">
        <v>65</v>
      </c>
      <c r="C27" s="67" t="s">
        <v>62</v>
      </c>
      <c r="D27" s="52" t="s">
        <v>50</v>
      </c>
      <c r="E27" s="54">
        <v>250</v>
      </c>
      <c r="F27" s="52"/>
      <c r="G27" s="52"/>
      <c r="H27" s="52"/>
    </row>
    <row r="28" spans="1:8" ht="15" customHeight="1" x14ac:dyDescent="0.25">
      <c r="A28" s="55"/>
      <c r="B28" s="55"/>
      <c r="C28" s="68"/>
      <c r="D28" s="55"/>
      <c r="E28" s="56"/>
      <c r="F28" s="55"/>
      <c r="G28" s="55"/>
      <c r="H28" s="55"/>
    </row>
    <row r="29" spans="1:8" ht="15" customHeight="1" x14ac:dyDescent="0.25">
      <c r="A29" s="55"/>
      <c r="B29" s="55"/>
      <c r="C29" s="68"/>
      <c r="D29" s="55"/>
      <c r="E29" s="56"/>
      <c r="F29" s="55"/>
      <c r="G29" s="55"/>
      <c r="H29" s="55"/>
    </row>
    <row r="30" spans="1:8" ht="15" customHeight="1" x14ac:dyDescent="0.25">
      <c r="A30" s="157" t="s">
        <v>66</v>
      </c>
      <c r="B30" s="152"/>
      <c r="C30" s="152"/>
      <c r="D30" s="153"/>
      <c r="E30" s="46">
        <f>SUM(E24:E29)</f>
        <v>4525</v>
      </c>
      <c r="F30" s="47"/>
      <c r="G30" s="47"/>
      <c r="H30" s="47"/>
    </row>
    <row r="31" spans="1:8" ht="15.75" customHeight="1" x14ac:dyDescent="0.25">
      <c r="A31" s="17"/>
      <c r="B31" s="17"/>
      <c r="C31" s="59"/>
      <c r="D31" s="17"/>
      <c r="E31" s="17"/>
      <c r="F31" s="17"/>
      <c r="G31" s="17"/>
      <c r="H31" s="17"/>
    </row>
    <row r="32" spans="1:8" ht="19.5" customHeight="1" x14ac:dyDescent="0.25">
      <c r="A32" s="159" t="s">
        <v>67</v>
      </c>
      <c r="B32" s="146"/>
      <c r="C32" s="146"/>
      <c r="D32" s="146"/>
      <c r="E32" s="146"/>
      <c r="F32" s="146"/>
      <c r="G32" s="146"/>
      <c r="H32" s="147"/>
    </row>
    <row r="33" spans="1:8" ht="15" customHeight="1" x14ac:dyDescent="0.25">
      <c r="A33" s="151" t="s">
        <v>68</v>
      </c>
      <c r="B33" s="152"/>
      <c r="C33" s="152"/>
      <c r="D33" s="153"/>
      <c r="E33" s="57">
        <f>E30-E20</f>
        <v>1860</v>
      </c>
      <c r="F33" s="58"/>
      <c r="G33" s="58"/>
      <c r="H33" s="58"/>
    </row>
    <row r="34" spans="1:8" ht="15" customHeight="1" x14ac:dyDescent="0.25">
      <c r="A34" s="151" t="s">
        <v>76</v>
      </c>
      <c r="B34" s="152"/>
      <c r="C34" s="152"/>
      <c r="D34" s="153"/>
      <c r="E34" s="57">
        <f>0.7*(E30-E20)</f>
        <v>1302</v>
      </c>
      <c r="F34" s="58"/>
      <c r="G34" s="58"/>
      <c r="H34" s="58"/>
    </row>
    <row r="35" spans="1:8" ht="15" customHeight="1" x14ac:dyDescent="0.25">
      <c r="A35" s="151" t="s">
        <v>70</v>
      </c>
      <c r="B35" s="152"/>
      <c r="C35" s="152"/>
      <c r="D35" s="153"/>
      <c r="E35" s="57">
        <f>E20/6</f>
        <v>444.16666666666669</v>
      </c>
      <c r="F35" s="58"/>
      <c r="G35" s="58"/>
      <c r="H35" s="58"/>
    </row>
    <row r="36" spans="1:8" ht="15.75" customHeight="1" x14ac:dyDescent="0.25">
      <c r="A36" s="17"/>
      <c r="B36" s="17"/>
      <c r="C36" s="59"/>
      <c r="D36" s="17"/>
      <c r="E36" s="17"/>
      <c r="F36" s="17"/>
      <c r="G36" s="17"/>
      <c r="H36" s="17"/>
    </row>
    <row r="37" spans="1:8" ht="15.75" customHeight="1" x14ac:dyDescent="0.25">
      <c r="A37" s="17"/>
      <c r="B37" s="17"/>
      <c r="C37" s="59"/>
      <c r="D37" s="17"/>
      <c r="E37" s="17"/>
      <c r="F37" s="17"/>
      <c r="G37" s="17"/>
      <c r="H37" s="17"/>
    </row>
    <row r="38" spans="1:8" ht="15.75" customHeight="1" x14ac:dyDescent="0.25">
      <c r="A38" s="17"/>
      <c r="B38" s="17"/>
      <c r="C38" s="59"/>
      <c r="D38" s="17"/>
      <c r="E38" s="17"/>
      <c r="F38" s="17"/>
      <c r="G38" s="17"/>
      <c r="H38" s="17"/>
    </row>
    <row r="39" spans="1:8" ht="15.75" customHeight="1" x14ac:dyDescent="0.25">
      <c r="A39" s="17"/>
      <c r="B39" s="17"/>
      <c r="C39" s="59"/>
      <c r="D39" s="17"/>
      <c r="E39" s="17"/>
      <c r="F39" s="17"/>
      <c r="G39" s="17"/>
      <c r="H39" s="17"/>
    </row>
    <row r="40" spans="1:8" ht="15.75" customHeight="1" x14ac:dyDescent="0.25">
      <c r="A40" s="17"/>
      <c r="B40" s="17"/>
      <c r="C40" s="59"/>
      <c r="D40" s="17"/>
      <c r="E40" s="17"/>
      <c r="F40" s="17"/>
      <c r="G40" s="17"/>
      <c r="H40" s="17"/>
    </row>
    <row r="41" spans="1:8" ht="15.75" customHeight="1" x14ac:dyDescent="0.25">
      <c r="A41" s="17"/>
      <c r="B41" s="17"/>
      <c r="C41" s="59"/>
      <c r="D41" s="17"/>
      <c r="E41" s="17"/>
      <c r="F41" s="17"/>
      <c r="G41" s="17"/>
      <c r="H41" s="17"/>
    </row>
    <row r="42" spans="1:8" ht="15.75" customHeight="1" x14ac:dyDescent="0.25">
      <c r="A42" s="17"/>
      <c r="B42" s="17"/>
      <c r="C42" s="59"/>
      <c r="D42" s="17"/>
      <c r="E42" s="17"/>
      <c r="F42" s="17"/>
      <c r="G42" s="17"/>
      <c r="H42" s="17"/>
    </row>
    <row r="43" spans="1:8" ht="15.75" customHeight="1" x14ac:dyDescent="0.25">
      <c r="A43" s="17"/>
      <c r="B43" s="17"/>
      <c r="C43" s="59"/>
      <c r="D43" s="17"/>
      <c r="E43" s="17"/>
      <c r="F43" s="17"/>
      <c r="G43" s="17"/>
      <c r="H43" s="17"/>
    </row>
    <row r="44" spans="1:8" ht="15.75" customHeight="1" x14ac:dyDescent="0.25">
      <c r="A44" s="17"/>
      <c r="B44" s="17"/>
      <c r="C44" s="59"/>
      <c r="D44" s="17"/>
      <c r="E44" s="17"/>
      <c r="F44" s="17"/>
      <c r="G44" s="17"/>
      <c r="H44" s="17"/>
    </row>
    <row r="45" spans="1:8" ht="15.75" customHeight="1" x14ac:dyDescent="0.25">
      <c r="A45" s="17"/>
      <c r="B45" s="17"/>
      <c r="C45" s="59"/>
      <c r="D45" s="17"/>
      <c r="E45" s="17"/>
      <c r="F45" s="17"/>
      <c r="G45" s="17"/>
      <c r="H45" s="17"/>
    </row>
    <row r="46" spans="1:8" ht="15.75" customHeight="1" x14ac:dyDescent="0.25">
      <c r="A46" s="17"/>
      <c r="B46" s="17"/>
      <c r="C46" s="59"/>
      <c r="D46" s="17"/>
      <c r="E46" s="17"/>
      <c r="F46" s="17"/>
      <c r="G46" s="17"/>
      <c r="H46" s="17"/>
    </row>
    <row r="47" spans="1:8" ht="15.75" customHeight="1" x14ac:dyDescent="0.25">
      <c r="A47" s="17"/>
      <c r="B47" s="17"/>
      <c r="C47" s="59"/>
      <c r="D47" s="17"/>
      <c r="E47" s="17"/>
      <c r="F47" s="17"/>
      <c r="G47" s="17"/>
      <c r="H47" s="17"/>
    </row>
    <row r="48" spans="1:8" ht="15.75" customHeight="1" x14ac:dyDescent="0.25">
      <c r="A48" s="17"/>
      <c r="B48" s="17"/>
      <c r="C48" s="59"/>
      <c r="D48" s="17"/>
      <c r="E48" s="17"/>
      <c r="F48" s="17"/>
      <c r="G48" s="17"/>
      <c r="H48" s="17"/>
    </row>
    <row r="49" spans="1:8" ht="15.75" customHeight="1" x14ac:dyDescent="0.25">
      <c r="A49" s="17"/>
      <c r="B49" s="17"/>
      <c r="C49" s="59"/>
      <c r="D49" s="17"/>
      <c r="E49" s="17"/>
      <c r="F49" s="17"/>
      <c r="G49" s="17"/>
      <c r="H49" s="17"/>
    </row>
    <row r="50" spans="1:8" ht="15.75" customHeight="1" x14ac:dyDescent="0.25">
      <c r="A50" s="17"/>
      <c r="B50" s="17"/>
      <c r="C50" s="59"/>
      <c r="D50" s="17"/>
      <c r="E50" s="17"/>
      <c r="F50" s="17"/>
      <c r="G50" s="17"/>
      <c r="H50" s="17"/>
    </row>
    <row r="51" spans="1:8" ht="15.75" customHeight="1" x14ac:dyDescent="0.25">
      <c r="A51" s="17"/>
      <c r="B51" s="17"/>
      <c r="C51" s="59"/>
      <c r="D51" s="17"/>
      <c r="E51" s="17"/>
      <c r="F51" s="17"/>
      <c r="G51" s="17"/>
      <c r="H51" s="17"/>
    </row>
    <row r="52" spans="1:8" ht="15.75" customHeight="1" x14ac:dyDescent="0.25">
      <c r="A52" s="17"/>
      <c r="B52" s="17"/>
      <c r="C52" s="59"/>
      <c r="D52" s="17"/>
      <c r="E52" s="17"/>
      <c r="F52" s="17"/>
      <c r="G52" s="17"/>
      <c r="H52" s="17"/>
    </row>
    <row r="53" spans="1:8" ht="15.75" customHeight="1" x14ac:dyDescent="0.25">
      <c r="A53" s="17"/>
      <c r="B53" s="17"/>
      <c r="C53" s="59"/>
      <c r="D53" s="17"/>
      <c r="E53" s="17"/>
      <c r="F53" s="17"/>
      <c r="G53" s="17"/>
      <c r="H53" s="17"/>
    </row>
    <row r="54" spans="1:8" ht="15.75" customHeight="1" x14ac:dyDescent="0.25">
      <c r="A54" s="17"/>
      <c r="B54" s="17"/>
      <c r="C54" s="59"/>
      <c r="D54" s="17"/>
      <c r="E54" s="17"/>
      <c r="F54" s="17"/>
      <c r="G54" s="17"/>
      <c r="H54" s="17"/>
    </row>
    <row r="55" spans="1:8" ht="15.75" customHeight="1" x14ac:dyDescent="0.25">
      <c r="A55" s="17"/>
      <c r="B55" s="17"/>
      <c r="C55" s="59"/>
      <c r="D55" s="17"/>
      <c r="E55" s="17"/>
      <c r="F55" s="17"/>
      <c r="G55" s="17"/>
      <c r="H55" s="17"/>
    </row>
    <row r="56" spans="1:8" ht="15.75" customHeight="1" x14ac:dyDescent="0.25">
      <c r="A56" s="17"/>
      <c r="B56" s="17"/>
      <c r="C56" s="59"/>
      <c r="D56" s="17"/>
      <c r="E56" s="17"/>
      <c r="F56" s="17"/>
      <c r="G56" s="17"/>
      <c r="H56" s="17"/>
    </row>
    <row r="57" spans="1:8" ht="15.75" customHeight="1" x14ac:dyDescent="0.25">
      <c r="A57" s="17"/>
      <c r="B57" s="17"/>
      <c r="C57" s="59"/>
      <c r="D57" s="17"/>
      <c r="E57" s="17"/>
      <c r="F57" s="17"/>
      <c r="G57" s="17"/>
      <c r="H57" s="17"/>
    </row>
    <row r="58" spans="1:8" ht="15.75" customHeight="1" x14ac:dyDescent="0.25">
      <c r="A58" s="17"/>
      <c r="B58" s="17"/>
      <c r="C58" s="59"/>
      <c r="D58" s="17"/>
      <c r="E58" s="17"/>
      <c r="F58" s="17"/>
      <c r="G58" s="17"/>
      <c r="H58" s="17"/>
    </row>
    <row r="59" spans="1:8" ht="15.75" customHeight="1" x14ac:dyDescent="0.25">
      <c r="A59" s="17"/>
      <c r="B59" s="17"/>
      <c r="C59" s="59"/>
      <c r="D59" s="17"/>
      <c r="E59" s="17"/>
      <c r="F59" s="17"/>
      <c r="G59" s="17"/>
      <c r="H59" s="17"/>
    </row>
    <row r="60" spans="1:8" ht="15.75" customHeight="1" x14ac:dyDescent="0.25">
      <c r="A60" s="17"/>
      <c r="B60" s="17"/>
      <c r="C60" s="59"/>
      <c r="D60" s="17"/>
      <c r="E60" s="17"/>
      <c r="F60" s="17"/>
      <c r="G60" s="17"/>
      <c r="H60" s="17"/>
    </row>
    <row r="61" spans="1:8" ht="15.75" customHeight="1" x14ac:dyDescent="0.25">
      <c r="A61" s="17"/>
      <c r="B61" s="17"/>
      <c r="C61" s="59"/>
      <c r="D61" s="17"/>
      <c r="E61" s="17"/>
      <c r="F61" s="17"/>
      <c r="G61" s="17"/>
      <c r="H61" s="17"/>
    </row>
    <row r="62" spans="1:8" ht="15.75" customHeight="1" x14ac:dyDescent="0.25">
      <c r="A62" s="17"/>
      <c r="B62" s="17"/>
      <c r="C62" s="59"/>
      <c r="D62" s="17"/>
      <c r="E62" s="17"/>
      <c r="F62" s="17"/>
      <c r="G62" s="17"/>
      <c r="H62" s="17"/>
    </row>
    <row r="63" spans="1:8" ht="15.75" customHeight="1" x14ac:dyDescent="0.25">
      <c r="A63" s="17"/>
      <c r="B63" s="17"/>
      <c r="C63" s="59"/>
      <c r="D63" s="17"/>
      <c r="E63" s="17"/>
      <c r="F63" s="17"/>
      <c r="G63" s="17"/>
      <c r="H63" s="17"/>
    </row>
    <row r="64" spans="1:8" ht="15.75" customHeight="1" x14ac:dyDescent="0.25">
      <c r="A64" s="17"/>
      <c r="B64" s="17"/>
      <c r="C64" s="59"/>
      <c r="D64" s="17"/>
      <c r="E64" s="17"/>
      <c r="F64" s="17"/>
      <c r="G64" s="17"/>
      <c r="H64" s="17"/>
    </row>
    <row r="65" spans="1:8" ht="15.75" customHeight="1" x14ac:dyDescent="0.25">
      <c r="A65" s="17"/>
      <c r="B65" s="17"/>
      <c r="C65" s="59"/>
      <c r="D65" s="17"/>
      <c r="E65" s="17"/>
      <c r="F65" s="17"/>
      <c r="G65" s="17"/>
      <c r="H65" s="17"/>
    </row>
    <row r="66" spans="1:8" ht="15.75" customHeight="1" x14ac:dyDescent="0.25">
      <c r="A66" s="17"/>
      <c r="B66" s="17"/>
      <c r="C66" s="59"/>
      <c r="D66" s="17"/>
      <c r="E66" s="17"/>
      <c r="F66" s="17"/>
      <c r="G66" s="17"/>
      <c r="H66" s="17"/>
    </row>
    <row r="67" spans="1:8" ht="15.75" customHeight="1" x14ac:dyDescent="0.25">
      <c r="A67" s="17"/>
      <c r="B67" s="17"/>
      <c r="C67" s="59"/>
      <c r="D67" s="17"/>
      <c r="E67" s="17"/>
      <c r="F67" s="17"/>
      <c r="G67" s="17"/>
      <c r="H67" s="17"/>
    </row>
    <row r="68" spans="1:8" ht="15.75" customHeight="1" x14ac:dyDescent="0.25">
      <c r="A68" s="17"/>
      <c r="B68" s="17"/>
      <c r="C68" s="59"/>
      <c r="D68" s="17"/>
      <c r="E68" s="17"/>
      <c r="F68" s="17"/>
      <c r="G68" s="17"/>
      <c r="H68" s="17"/>
    </row>
    <row r="69" spans="1:8" ht="15.75" customHeight="1" x14ac:dyDescent="0.25">
      <c r="A69" s="17"/>
      <c r="B69" s="17"/>
      <c r="C69" s="59"/>
      <c r="D69" s="17"/>
      <c r="E69" s="17"/>
      <c r="F69" s="17"/>
      <c r="G69" s="17"/>
      <c r="H69" s="17"/>
    </row>
    <row r="70" spans="1:8" ht="15.75" customHeight="1" x14ac:dyDescent="0.25">
      <c r="A70" s="17"/>
      <c r="B70" s="17"/>
      <c r="C70" s="59"/>
      <c r="D70" s="17"/>
      <c r="E70" s="17"/>
      <c r="F70" s="17"/>
      <c r="G70" s="17"/>
      <c r="H70" s="17"/>
    </row>
    <row r="71" spans="1:8" ht="15.75" customHeight="1" x14ac:dyDescent="0.25">
      <c r="A71" s="17"/>
      <c r="B71" s="17"/>
      <c r="C71" s="59"/>
      <c r="D71" s="17"/>
      <c r="E71" s="17"/>
      <c r="F71" s="17"/>
      <c r="G71" s="17"/>
      <c r="H71" s="17"/>
    </row>
    <row r="72" spans="1:8" ht="15.75" customHeight="1" x14ac:dyDescent="0.25">
      <c r="A72" s="17"/>
      <c r="B72" s="17"/>
      <c r="C72" s="59"/>
      <c r="D72" s="17"/>
      <c r="E72" s="17"/>
      <c r="F72" s="17"/>
      <c r="G72" s="17"/>
      <c r="H72" s="17"/>
    </row>
    <row r="73" spans="1:8" ht="15.75" customHeight="1" x14ac:dyDescent="0.25">
      <c r="A73" s="17"/>
      <c r="B73" s="17"/>
      <c r="C73" s="59"/>
      <c r="D73" s="17"/>
      <c r="E73" s="17"/>
      <c r="F73" s="17"/>
      <c r="G73" s="17"/>
      <c r="H73" s="17"/>
    </row>
    <row r="74" spans="1:8" ht="15.75" customHeight="1" x14ac:dyDescent="0.25">
      <c r="A74" s="17"/>
      <c r="B74" s="17"/>
      <c r="C74" s="59"/>
      <c r="D74" s="17"/>
      <c r="E74" s="17"/>
      <c r="F74" s="17"/>
      <c r="G74" s="17"/>
      <c r="H74" s="17"/>
    </row>
    <row r="75" spans="1:8" ht="15.75" customHeight="1" x14ac:dyDescent="0.25">
      <c r="A75" s="17"/>
      <c r="B75" s="17"/>
      <c r="C75" s="59"/>
      <c r="D75" s="17"/>
      <c r="E75" s="17"/>
      <c r="F75" s="17"/>
      <c r="G75" s="17"/>
      <c r="H75" s="17"/>
    </row>
    <row r="76" spans="1:8" ht="15.75" customHeight="1" x14ac:dyDescent="0.25">
      <c r="A76" s="17"/>
      <c r="B76" s="17"/>
      <c r="C76" s="59"/>
      <c r="D76" s="17"/>
      <c r="E76" s="17"/>
      <c r="F76" s="17"/>
      <c r="G76" s="17"/>
      <c r="H76" s="17"/>
    </row>
    <row r="77" spans="1:8" ht="15.75" customHeight="1" x14ac:dyDescent="0.25">
      <c r="A77" s="17"/>
      <c r="B77" s="17"/>
      <c r="C77" s="59"/>
      <c r="D77" s="17"/>
      <c r="E77" s="17"/>
      <c r="F77" s="17"/>
      <c r="G77" s="17"/>
      <c r="H77" s="17"/>
    </row>
    <row r="78" spans="1:8" ht="15.75" customHeight="1" x14ac:dyDescent="0.25">
      <c r="A78" s="17"/>
      <c r="B78" s="17"/>
      <c r="C78" s="59"/>
      <c r="D78" s="17"/>
      <c r="E78" s="17"/>
      <c r="F78" s="17"/>
      <c r="G78" s="17"/>
      <c r="H78" s="17"/>
    </row>
    <row r="79" spans="1:8" ht="15.75" customHeight="1" x14ac:dyDescent="0.25">
      <c r="A79" s="17"/>
      <c r="B79" s="17"/>
      <c r="C79" s="59"/>
      <c r="D79" s="17"/>
      <c r="E79" s="17"/>
      <c r="F79" s="17"/>
      <c r="G79" s="17"/>
      <c r="H79" s="17"/>
    </row>
    <row r="80" spans="1:8" ht="15.75" customHeight="1" x14ac:dyDescent="0.25">
      <c r="A80" s="17"/>
      <c r="B80" s="17"/>
      <c r="C80" s="59"/>
      <c r="D80" s="17"/>
      <c r="E80" s="17"/>
      <c r="F80" s="17"/>
      <c r="G80" s="17"/>
      <c r="H80" s="17"/>
    </row>
    <row r="81" spans="1:8" ht="15.75" customHeight="1" x14ac:dyDescent="0.25">
      <c r="A81" s="17"/>
      <c r="B81" s="17"/>
      <c r="C81" s="59"/>
      <c r="D81" s="17"/>
      <c r="E81" s="17"/>
      <c r="F81" s="17"/>
      <c r="G81" s="17"/>
      <c r="H81" s="17"/>
    </row>
    <row r="82" spans="1:8" ht="15.75" customHeight="1" x14ac:dyDescent="0.25">
      <c r="A82" s="17"/>
      <c r="B82" s="17"/>
      <c r="C82" s="59"/>
      <c r="D82" s="17"/>
      <c r="E82" s="17"/>
      <c r="F82" s="17"/>
      <c r="G82" s="17"/>
      <c r="H82" s="17"/>
    </row>
    <row r="83" spans="1:8" ht="15.75" customHeight="1" x14ac:dyDescent="0.25">
      <c r="A83" s="17"/>
      <c r="B83" s="17"/>
      <c r="C83" s="59"/>
      <c r="D83" s="17"/>
      <c r="E83" s="17"/>
      <c r="F83" s="17"/>
      <c r="G83" s="17"/>
      <c r="H83" s="17"/>
    </row>
    <row r="84" spans="1:8" ht="15.75" customHeight="1" x14ac:dyDescent="0.25">
      <c r="A84" s="17"/>
      <c r="B84" s="17"/>
      <c r="C84" s="59"/>
      <c r="D84" s="17"/>
      <c r="E84" s="17"/>
      <c r="F84" s="17"/>
      <c r="G84" s="17"/>
      <c r="H84" s="17"/>
    </row>
    <row r="85" spans="1:8" ht="15.75" customHeight="1" x14ac:dyDescent="0.25">
      <c r="A85" s="17"/>
      <c r="B85" s="17"/>
      <c r="C85" s="59"/>
      <c r="D85" s="17"/>
      <c r="E85" s="17"/>
      <c r="F85" s="17"/>
      <c r="G85" s="17"/>
      <c r="H85" s="17"/>
    </row>
    <row r="86" spans="1:8" ht="15.75" customHeight="1" x14ac:dyDescent="0.25">
      <c r="A86" s="17"/>
      <c r="B86" s="17"/>
      <c r="C86" s="59"/>
      <c r="D86" s="17"/>
      <c r="E86" s="17"/>
      <c r="F86" s="17"/>
      <c r="G86" s="17"/>
      <c r="H86" s="17"/>
    </row>
    <row r="87" spans="1:8" ht="15.75" customHeight="1" x14ac:dyDescent="0.25">
      <c r="A87" s="17"/>
      <c r="B87" s="17"/>
      <c r="C87" s="59"/>
      <c r="D87" s="17"/>
      <c r="E87" s="17"/>
      <c r="F87" s="17"/>
      <c r="G87" s="17"/>
      <c r="H87" s="17"/>
    </row>
    <row r="88" spans="1:8" ht="15.75" customHeight="1" x14ac:dyDescent="0.25">
      <c r="A88" s="17"/>
      <c r="B88" s="17"/>
      <c r="C88" s="59"/>
      <c r="D88" s="17"/>
      <c r="E88" s="17"/>
      <c r="F88" s="17"/>
      <c r="G88" s="17"/>
      <c r="H88" s="17"/>
    </row>
    <row r="89" spans="1:8" ht="15.75" customHeight="1" x14ac:dyDescent="0.25">
      <c r="A89" s="17"/>
      <c r="B89" s="17"/>
      <c r="C89" s="59"/>
      <c r="D89" s="17"/>
      <c r="E89" s="17"/>
      <c r="F89" s="17"/>
      <c r="G89" s="17"/>
      <c r="H89" s="17"/>
    </row>
    <row r="90" spans="1:8" ht="15.75" customHeight="1" x14ac:dyDescent="0.25">
      <c r="A90" s="17"/>
      <c r="B90" s="17"/>
      <c r="C90" s="59"/>
      <c r="D90" s="17"/>
      <c r="E90" s="17"/>
      <c r="F90" s="17"/>
      <c r="G90" s="17"/>
      <c r="H90" s="17"/>
    </row>
    <row r="91" spans="1:8" ht="15.75" customHeight="1" x14ac:dyDescent="0.25">
      <c r="A91" s="17"/>
      <c r="B91" s="17"/>
      <c r="C91" s="59"/>
      <c r="D91" s="17"/>
      <c r="E91" s="17"/>
      <c r="F91" s="17"/>
      <c r="G91" s="17"/>
      <c r="H91" s="17"/>
    </row>
    <row r="92" spans="1:8" ht="15.75" customHeight="1" x14ac:dyDescent="0.25">
      <c r="A92" s="17"/>
      <c r="B92" s="17"/>
      <c r="C92" s="59"/>
      <c r="D92" s="17"/>
      <c r="E92" s="17"/>
      <c r="F92" s="17"/>
      <c r="G92" s="17"/>
      <c r="H92" s="17"/>
    </row>
    <row r="93" spans="1:8" ht="15.75" customHeight="1" x14ac:dyDescent="0.25">
      <c r="A93" s="17"/>
      <c r="B93" s="17"/>
      <c r="C93" s="59"/>
      <c r="D93" s="17"/>
      <c r="E93" s="17"/>
      <c r="F93" s="17"/>
      <c r="G93" s="17"/>
      <c r="H93" s="17"/>
    </row>
    <row r="94" spans="1:8" ht="15.75" customHeight="1" x14ac:dyDescent="0.25">
      <c r="A94" s="17"/>
      <c r="B94" s="17"/>
      <c r="C94" s="59"/>
      <c r="D94" s="17"/>
      <c r="E94" s="17"/>
      <c r="F94" s="17"/>
      <c r="G94" s="17"/>
      <c r="H94" s="17"/>
    </row>
    <row r="95" spans="1:8" ht="15.75" customHeight="1" x14ac:dyDescent="0.25">
      <c r="A95" s="17"/>
      <c r="B95" s="17"/>
      <c r="C95" s="59"/>
      <c r="D95" s="17"/>
      <c r="E95" s="17"/>
      <c r="F95" s="17"/>
      <c r="G95" s="17"/>
      <c r="H95" s="17"/>
    </row>
    <row r="96" spans="1:8" ht="15.75" customHeight="1" x14ac:dyDescent="0.25">
      <c r="A96" s="17"/>
      <c r="B96" s="17"/>
      <c r="C96" s="59"/>
      <c r="D96" s="17"/>
      <c r="E96" s="17"/>
      <c r="F96" s="17"/>
      <c r="G96" s="17"/>
      <c r="H96" s="17"/>
    </row>
    <row r="97" spans="1:8" ht="15.75" customHeight="1" x14ac:dyDescent="0.25">
      <c r="A97" s="17"/>
      <c r="B97" s="17"/>
      <c r="C97" s="59"/>
      <c r="D97" s="17"/>
      <c r="E97" s="17"/>
      <c r="F97" s="17"/>
      <c r="G97" s="17"/>
      <c r="H97" s="17"/>
    </row>
    <row r="98" spans="1:8" ht="15.75" customHeight="1" x14ac:dyDescent="0.25">
      <c r="A98" s="17"/>
      <c r="B98" s="17"/>
      <c r="C98" s="59"/>
      <c r="D98" s="17"/>
      <c r="E98" s="17"/>
      <c r="F98" s="17"/>
      <c r="G98" s="17"/>
      <c r="H98" s="17"/>
    </row>
    <row r="99" spans="1:8" ht="15.75" customHeight="1" x14ac:dyDescent="0.25">
      <c r="A99" s="17"/>
      <c r="B99" s="17"/>
      <c r="C99" s="59"/>
      <c r="D99" s="17"/>
      <c r="E99" s="17"/>
      <c r="F99" s="17"/>
      <c r="G99" s="17"/>
      <c r="H99" s="17"/>
    </row>
    <row r="100" spans="1:8" ht="15.75" customHeight="1" x14ac:dyDescent="0.25">
      <c r="A100" s="17"/>
      <c r="B100" s="17"/>
      <c r="C100" s="59"/>
      <c r="D100" s="17"/>
      <c r="E100" s="17"/>
      <c r="F100" s="17"/>
      <c r="G100" s="17"/>
      <c r="H100" s="17"/>
    </row>
  </sheetData>
  <mergeCells count="19">
    <mergeCell ref="A1:H1"/>
    <mergeCell ref="A2:B2"/>
    <mergeCell ref="C2:D2"/>
    <mergeCell ref="E2:F2"/>
    <mergeCell ref="G2:H2"/>
    <mergeCell ref="A5:H5"/>
    <mergeCell ref="A33:D33"/>
    <mergeCell ref="A34:D34"/>
    <mergeCell ref="A35:D35"/>
    <mergeCell ref="C3:D3"/>
    <mergeCell ref="A18:D18"/>
    <mergeCell ref="A19:D19"/>
    <mergeCell ref="A20:D20"/>
    <mergeCell ref="A22:H22"/>
    <mergeCell ref="A30:D30"/>
    <mergeCell ref="A32:H32"/>
    <mergeCell ref="E3:F3"/>
    <mergeCell ref="G3:H3"/>
    <mergeCell ref="A3:B3"/>
  </mergeCell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18F01"/>
  </sheetPr>
  <dimension ref="A1:L100"/>
  <sheetViews>
    <sheetView workbookViewId="0">
      <pane ySplit="3" topLeftCell="A4" activePane="bottomLeft" state="frozen"/>
      <selection pane="bottomLeft" activeCell="L22" sqref="L22"/>
    </sheetView>
  </sheetViews>
  <sheetFormatPr defaultColWidth="14.42578125" defaultRowHeight="15" customHeight="1" x14ac:dyDescent="0.25"/>
  <cols>
    <col min="1" max="1" width="10" customWidth="1"/>
    <col min="2" max="2" width="22" customWidth="1"/>
    <col min="3" max="6" width="16" customWidth="1"/>
    <col min="7" max="7" width="23.140625" customWidth="1"/>
    <col min="8" max="8" width="20" customWidth="1"/>
  </cols>
  <sheetData>
    <row r="1" spans="1:9" ht="15.75" customHeight="1" x14ac:dyDescent="0.25">
      <c r="A1" s="163" t="s">
        <v>77</v>
      </c>
      <c r="B1" s="146"/>
      <c r="C1" s="146"/>
      <c r="D1" s="146"/>
      <c r="E1" s="146"/>
      <c r="F1" s="146"/>
      <c r="G1" s="146"/>
      <c r="H1" s="147"/>
    </row>
    <row r="2" spans="1:9" ht="15" customHeight="1" x14ac:dyDescent="0.25">
      <c r="A2" s="164" t="s">
        <v>34</v>
      </c>
      <c r="B2" s="147"/>
      <c r="C2" s="164" t="s">
        <v>35</v>
      </c>
      <c r="D2" s="147"/>
      <c r="E2" s="166" t="s">
        <v>36</v>
      </c>
      <c r="F2" s="147"/>
      <c r="G2" s="164" t="s">
        <v>37</v>
      </c>
      <c r="H2" s="147"/>
    </row>
    <row r="3" spans="1:9" ht="14.25" customHeight="1" x14ac:dyDescent="0.25">
      <c r="A3" s="162">
        <f>E33</f>
        <v>5070</v>
      </c>
      <c r="B3" s="147"/>
      <c r="C3" s="154">
        <f>E23</f>
        <v>3135.2</v>
      </c>
      <c r="D3" s="147"/>
      <c r="E3" s="165">
        <f>E33-E23</f>
        <v>1934.8000000000002</v>
      </c>
      <c r="F3" s="147"/>
      <c r="G3" s="161">
        <f>IF(E33&gt;0,(E33-E23)/E33,0)</f>
        <v>0.38161735700197241</v>
      </c>
      <c r="H3" s="147"/>
    </row>
    <row r="4" spans="1:9" ht="14.25" customHeight="1" x14ac:dyDescent="0.25">
      <c r="A4" s="17"/>
      <c r="B4" s="69"/>
      <c r="C4" s="59"/>
      <c r="D4" s="17"/>
      <c r="E4" s="70"/>
      <c r="F4" s="17"/>
      <c r="G4" s="17"/>
      <c r="H4" s="17"/>
    </row>
    <row r="5" spans="1:9" ht="15" customHeight="1" x14ac:dyDescent="0.25">
      <c r="A5" s="150" t="s">
        <v>78</v>
      </c>
      <c r="B5" s="146"/>
      <c r="C5" s="146"/>
      <c r="D5" s="146"/>
      <c r="E5" s="146"/>
      <c r="F5" s="146"/>
      <c r="G5" s="146"/>
      <c r="H5" s="147"/>
    </row>
    <row r="6" spans="1:9" ht="14.25" customHeight="1" x14ac:dyDescent="0.25">
      <c r="A6" s="36" t="s">
        <v>22</v>
      </c>
      <c r="B6" s="36" t="s">
        <v>39</v>
      </c>
      <c r="C6" s="60" t="s">
        <v>40</v>
      </c>
      <c r="D6" s="36" t="s">
        <v>41</v>
      </c>
      <c r="E6" s="71" t="s">
        <v>42</v>
      </c>
      <c r="F6" s="36" t="s">
        <v>79</v>
      </c>
      <c r="G6" s="36" t="s">
        <v>44</v>
      </c>
      <c r="H6" s="36" t="s">
        <v>80</v>
      </c>
    </row>
    <row r="7" spans="1:9" ht="14.25" customHeight="1" x14ac:dyDescent="0.25">
      <c r="A7" s="61">
        <v>46235</v>
      </c>
      <c r="B7" s="72" t="s">
        <v>81</v>
      </c>
      <c r="C7" s="73" t="s">
        <v>82</v>
      </c>
      <c r="D7" s="37" t="s">
        <v>83</v>
      </c>
      <c r="E7" s="74">
        <v>60</v>
      </c>
      <c r="F7" s="73">
        <v>46254</v>
      </c>
      <c r="G7" s="37" t="s">
        <v>84</v>
      </c>
      <c r="H7" s="37" t="s">
        <v>85</v>
      </c>
      <c r="I7" s="3" t="s">
        <v>86</v>
      </c>
    </row>
    <row r="8" spans="1:9" ht="14.25" customHeight="1" x14ac:dyDescent="0.25">
      <c r="A8" s="75">
        <v>46235</v>
      </c>
      <c r="B8" s="72" t="s">
        <v>87</v>
      </c>
      <c r="C8" s="62"/>
      <c r="D8" s="37" t="s">
        <v>88</v>
      </c>
      <c r="E8" s="74">
        <v>143</v>
      </c>
      <c r="F8" s="73">
        <v>46254</v>
      </c>
      <c r="G8" s="37" t="s">
        <v>89</v>
      </c>
      <c r="H8" s="37" t="s">
        <v>85</v>
      </c>
      <c r="I8" s="3" t="s">
        <v>86</v>
      </c>
    </row>
    <row r="9" spans="1:9" ht="14.25" customHeight="1" x14ac:dyDescent="0.25">
      <c r="A9" s="61">
        <v>46235</v>
      </c>
      <c r="B9" s="76" t="s">
        <v>49</v>
      </c>
      <c r="C9" s="63"/>
      <c r="D9" s="40" t="s">
        <v>90</v>
      </c>
      <c r="E9" s="77">
        <v>250</v>
      </c>
      <c r="F9" s="73">
        <v>46254</v>
      </c>
      <c r="G9" s="40"/>
      <c r="H9" s="40" t="s">
        <v>85</v>
      </c>
      <c r="I9" s="3" t="s">
        <v>86</v>
      </c>
    </row>
    <row r="10" spans="1:9" ht="14.25" customHeight="1" x14ac:dyDescent="0.25">
      <c r="A10" s="61">
        <v>46235</v>
      </c>
      <c r="B10" s="31" t="s">
        <v>91</v>
      </c>
      <c r="C10" s="64"/>
      <c r="D10" s="31" t="s">
        <v>92</v>
      </c>
      <c r="E10" s="74">
        <v>200</v>
      </c>
      <c r="F10" s="73">
        <v>46254</v>
      </c>
      <c r="G10" s="37"/>
      <c r="H10" s="37" t="s">
        <v>85</v>
      </c>
      <c r="I10" s="3" t="s">
        <v>86</v>
      </c>
    </row>
    <row r="11" spans="1:9" ht="14.25" customHeight="1" x14ac:dyDescent="0.25">
      <c r="A11" s="75">
        <v>46235</v>
      </c>
      <c r="B11" s="76" t="s">
        <v>93</v>
      </c>
      <c r="C11" s="63" t="s">
        <v>94</v>
      </c>
      <c r="D11" s="40" t="s">
        <v>83</v>
      </c>
      <c r="E11" s="77">
        <v>288</v>
      </c>
      <c r="F11" s="73">
        <v>46254</v>
      </c>
      <c r="G11" s="40" t="s">
        <v>95</v>
      </c>
      <c r="H11" s="40" t="s">
        <v>85</v>
      </c>
      <c r="I11" s="3" t="s">
        <v>86</v>
      </c>
    </row>
    <row r="12" spans="1:9" ht="14.25" customHeight="1" x14ac:dyDescent="0.25">
      <c r="A12" s="61">
        <v>46235</v>
      </c>
      <c r="B12" s="31" t="s">
        <v>96</v>
      </c>
      <c r="C12" s="64"/>
      <c r="D12" s="31"/>
      <c r="E12" s="74">
        <v>200</v>
      </c>
      <c r="F12" s="73">
        <v>46265</v>
      </c>
      <c r="G12" s="37"/>
      <c r="H12" s="37" t="s">
        <v>85</v>
      </c>
      <c r="I12" s="3" t="s">
        <v>86</v>
      </c>
    </row>
    <row r="13" spans="1:9" ht="14.25" customHeight="1" x14ac:dyDescent="0.25">
      <c r="A13" s="61">
        <v>46236</v>
      </c>
      <c r="B13" s="72" t="s">
        <v>55</v>
      </c>
      <c r="C13" s="62"/>
      <c r="D13" s="37" t="s">
        <v>92</v>
      </c>
      <c r="E13" s="74">
        <v>145</v>
      </c>
      <c r="F13" s="73">
        <v>46254</v>
      </c>
      <c r="G13" s="3" t="s">
        <v>97</v>
      </c>
      <c r="H13" s="37" t="s">
        <v>85</v>
      </c>
      <c r="I13" s="78">
        <f>SUM(E7:E14)</f>
        <v>1417.2</v>
      </c>
    </row>
    <row r="14" spans="1:9" ht="14.25" customHeight="1" x14ac:dyDescent="0.25">
      <c r="A14" s="75">
        <v>46235</v>
      </c>
      <c r="B14" s="31" t="s">
        <v>98</v>
      </c>
      <c r="C14" s="64"/>
      <c r="D14" s="31"/>
      <c r="E14" s="74">
        <v>131.19999999999999</v>
      </c>
      <c r="F14" s="73">
        <v>46254</v>
      </c>
      <c r="G14" s="40"/>
      <c r="H14" s="37" t="s">
        <v>85</v>
      </c>
      <c r="I14" s="3" t="s">
        <v>86</v>
      </c>
    </row>
    <row r="15" spans="1:9" ht="14.25" customHeight="1" x14ac:dyDescent="0.25">
      <c r="A15" s="61">
        <v>46235</v>
      </c>
      <c r="B15" s="69"/>
      <c r="C15" s="3"/>
      <c r="D15" s="3"/>
      <c r="E15" s="79">
        <v>250</v>
      </c>
      <c r="F15" s="73">
        <v>46262</v>
      </c>
      <c r="G15" s="31"/>
      <c r="H15" s="37" t="s">
        <v>85</v>
      </c>
      <c r="I15" s="3" t="s">
        <v>99</v>
      </c>
    </row>
    <row r="16" spans="1:9" ht="14.25" customHeight="1" x14ac:dyDescent="0.25">
      <c r="A16" s="75">
        <v>46235</v>
      </c>
      <c r="B16" s="76" t="s">
        <v>54</v>
      </c>
      <c r="C16" s="63"/>
      <c r="D16" s="37" t="s">
        <v>92</v>
      </c>
      <c r="E16" s="77">
        <v>288</v>
      </c>
      <c r="F16" s="73">
        <v>46265</v>
      </c>
      <c r="G16" s="31"/>
      <c r="H16" s="37" t="s">
        <v>85</v>
      </c>
      <c r="I16" s="3" t="s">
        <v>86</v>
      </c>
    </row>
    <row r="17" spans="1:12" ht="14.25" customHeight="1" x14ac:dyDescent="0.25">
      <c r="A17" s="61">
        <v>46235</v>
      </c>
      <c r="B17" s="31" t="s">
        <v>100</v>
      </c>
      <c r="C17" s="64"/>
      <c r="D17" s="31" t="s">
        <v>101</v>
      </c>
      <c r="E17" s="74">
        <v>200</v>
      </c>
      <c r="F17" s="73">
        <v>46265</v>
      </c>
      <c r="G17" s="31"/>
      <c r="H17" s="37" t="s">
        <v>85</v>
      </c>
      <c r="I17" s="3" t="s">
        <v>86</v>
      </c>
    </row>
    <row r="18" spans="1:12" ht="15" customHeight="1" x14ac:dyDescent="0.25">
      <c r="A18" s="61">
        <v>46235</v>
      </c>
      <c r="B18" s="72" t="s">
        <v>53</v>
      </c>
      <c r="C18" s="62"/>
      <c r="D18" s="37" t="s">
        <v>92</v>
      </c>
      <c r="E18" s="74">
        <v>140</v>
      </c>
      <c r="F18" s="73">
        <v>46265</v>
      </c>
      <c r="G18" s="37" t="s">
        <v>102</v>
      </c>
      <c r="H18" s="37" t="s">
        <v>85</v>
      </c>
      <c r="I18" s="3" t="s">
        <v>86</v>
      </c>
    </row>
    <row r="19" spans="1:12" ht="14.25" customHeight="1" x14ac:dyDescent="0.25">
      <c r="A19" s="61">
        <v>46236</v>
      </c>
      <c r="B19" s="69" t="s">
        <v>103</v>
      </c>
      <c r="C19" s="3"/>
      <c r="D19" s="3" t="s">
        <v>92</v>
      </c>
      <c r="E19" s="80">
        <v>100</v>
      </c>
      <c r="F19" s="73">
        <v>46265</v>
      </c>
      <c r="G19" s="31"/>
      <c r="H19" s="37" t="s">
        <v>85</v>
      </c>
      <c r="I19" s="3" t="s">
        <v>86</v>
      </c>
    </row>
    <row r="20" spans="1:12" ht="15" customHeight="1" x14ac:dyDescent="0.25">
      <c r="A20" s="61"/>
      <c r="B20" s="31"/>
      <c r="C20" s="64"/>
      <c r="D20" s="31"/>
      <c r="E20" s="74"/>
      <c r="F20" s="73">
        <v>46265</v>
      </c>
      <c r="G20" s="31"/>
      <c r="H20" s="37" t="s">
        <v>104</v>
      </c>
      <c r="I20" s="81"/>
    </row>
    <row r="21" spans="1:12" ht="15.75" customHeight="1" x14ac:dyDescent="0.25">
      <c r="A21" s="156" t="s">
        <v>57</v>
      </c>
      <c r="B21" s="152"/>
      <c r="C21" s="152"/>
      <c r="D21" s="153"/>
      <c r="E21" s="82">
        <v>400</v>
      </c>
      <c r="F21" s="73">
        <v>46262</v>
      </c>
      <c r="G21" s="44"/>
      <c r="H21" s="44"/>
      <c r="I21" s="78">
        <f>SUM(E16:E21)</f>
        <v>1128</v>
      </c>
    </row>
    <row r="22" spans="1:12" ht="15.75" customHeight="1" x14ac:dyDescent="0.25">
      <c r="A22" s="156" t="s">
        <v>105</v>
      </c>
      <c r="B22" s="152"/>
      <c r="C22" s="152"/>
      <c r="D22" s="153"/>
      <c r="E22" s="82">
        <f>SUM(E8:E21)</f>
        <v>2735.2</v>
      </c>
      <c r="F22" s="44"/>
      <c r="G22" s="44"/>
      <c r="H22" s="44"/>
      <c r="L22" s="3">
        <f>450+2200-728-400</f>
        <v>1522</v>
      </c>
    </row>
    <row r="23" spans="1:12" ht="15.75" customHeight="1" x14ac:dyDescent="0.25">
      <c r="A23" s="157" t="s">
        <v>58</v>
      </c>
      <c r="B23" s="152"/>
      <c r="C23" s="152"/>
      <c r="D23" s="153"/>
      <c r="E23" s="83">
        <f>E21+E22</f>
        <v>3135.2</v>
      </c>
      <c r="F23" s="47"/>
      <c r="G23" s="47"/>
      <c r="H23" s="47"/>
    </row>
    <row r="24" spans="1:12" ht="15.75" customHeight="1" x14ac:dyDescent="0.25">
      <c r="A24" s="17"/>
      <c r="B24" s="69"/>
      <c r="C24" s="59"/>
      <c r="D24" s="17"/>
      <c r="E24" s="70"/>
      <c r="F24" s="17"/>
      <c r="G24" s="17"/>
      <c r="H24" s="17"/>
    </row>
    <row r="25" spans="1:12" ht="15.75" customHeight="1" x14ac:dyDescent="0.25">
      <c r="A25" s="158" t="s">
        <v>106</v>
      </c>
      <c r="B25" s="146"/>
      <c r="C25" s="146"/>
      <c r="D25" s="146"/>
      <c r="E25" s="146"/>
      <c r="F25" s="146"/>
      <c r="G25" s="146"/>
      <c r="H25" s="147"/>
    </row>
    <row r="26" spans="1:12" ht="15.75" customHeight="1" x14ac:dyDescent="0.25">
      <c r="A26" s="48" t="s">
        <v>22</v>
      </c>
      <c r="B26" s="48" t="s">
        <v>39</v>
      </c>
      <c r="C26" s="65" t="s">
        <v>40</v>
      </c>
      <c r="D26" s="48" t="s">
        <v>41</v>
      </c>
      <c r="E26" s="84" t="s">
        <v>42</v>
      </c>
      <c r="F26" s="48" t="s">
        <v>60</v>
      </c>
      <c r="G26" s="48" t="s">
        <v>44</v>
      </c>
      <c r="H26" s="48"/>
    </row>
    <row r="27" spans="1:12" ht="15.75" customHeight="1" x14ac:dyDescent="0.25">
      <c r="A27" s="49" t="s">
        <v>107</v>
      </c>
      <c r="B27" s="85" t="s">
        <v>108</v>
      </c>
      <c r="C27" s="66" t="s">
        <v>62</v>
      </c>
      <c r="D27" s="49" t="s">
        <v>50</v>
      </c>
      <c r="E27" s="86">
        <v>2870</v>
      </c>
      <c r="F27" s="49"/>
      <c r="G27" s="49"/>
      <c r="H27" s="49"/>
    </row>
    <row r="28" spans="1:12" ht="15.75" customHeight="1" x14ac:dyDescent="0.25">
      <c r="A28" s="52" t="s">
        <v>107</v>
      </c>
      <c r="B28" s="87" t="s">
        <v>109</v>
      </c>
      <c r="C28" s="67" t="s">
        <v>62</v>
      </c>
      <c r="D28" s="52" t="s">
        <v>50</v>
      </c>
      <c r="E28" s="88">
        <v>2200</v>
      </c>
      <c r="F28" s="52"/>
      <c r="G28" s="52"/>
      <c r="H28" s="52"/>
    </row>
    <row r="29" spans="1:12" ht="15.75" customHeight="1" x14ac:dyDescent="0.25">
      <c r="A29" s="49" t="s">
        <v>107</v>
      </c>
      <c r="B29" s="85" t="s">
        <v>110</v>
      </c>
      <c r="C29" s="66" t="s">
        <v>62</v>
      </c>
      <c r="D29" s="49" t="s">
        <v>50</v>
      </c>
      <c r="E29" s="86"/>
      <c r="F29" s="49"/>
      <c r="G29" s="49"/>
      <c r="H29" s="49"/>
    </row>
    <row r="30" spans="1:12" ht="15.75" customHeight="1" x14ac:dyDescent="0.25">
      <c r="A30" s="52"/>
      <c r="B30" s="87" t="s">
        <v>111</v>
      </c>
      <c r="C30" s="67"/>
      <c r="D30" s="52"/>
      <c r="E30" s="89"/>
      <c r="F30" s="52"/>
      <c r="G30" s="52"/>
      <c r="H30" s="52"/>
    </row>
    <row r="31" spans="1:12" ht="15.75" customHeight="1" x14ac:dyDescent="0.25">
      <c r="A31" s="55"/>
      <c r="B31" s="55"/>
      <c r="C31" s="68"/>
      <c r="D31" s="55"/>
      <c r="E31" s="90"/>
      <c r="F31" s="55"/>
      <c r="G31" s="55"/>
      <c r="H31" s="55"/>
    </row>
    <row r="32" spans="1:12" ht="15.75" customHeight="1" x14ac:dyDescent="0.25">
      <c r="A32" s="55"/>
      <c r="B32" s="55"/>
      <c r="C32" s="68"/>
      <c r="D32" s="55"/>
      <c r="E32" s="90"/>
      <c r="F32" s="55"/>
      <c r="G32" s="55"/>
      <c r="H32" s="55"/>
    </row>
    <row r="33" spans="1:8" ht="15.75" customHeight="1" x14ac:dyDescent="0.25">
      <c r="A33" s="157" t="s">
        <v>66</v>
      </c>
      <c r="B33" s="152"/>
      <c r="C33" s="152"/>
      <c r="D33" s="153"/>
      <c r="E33" s="83">
        <f>SUM(E27:E32)</f>
        <v>5070</v>
      </c>
      <c r="F33" s="47"/>
      <c r="G33" s="47"/>
      <c r="H33" s="47"/>
    </row>
    <row r="34" spans="1:8" ht="15.75" customHeight="1" x14ac:dyDescent="0.25">
      <c r="A34" s="17"/>
      <c r="B34" s="69"/>
      <c r="C34" s="59"/>
      <c r="D34" s="17"/>
      <c r="E34" s="70"/>
      <c r="F34" s="17"/>
      <c r="G34" s="17"/>
      <c r="H34" s="17"/>
    </row>
    <row r="35" spans="1:8" ht="15.75" customHeight="1" x14ac:dyDescent="0.25">
      <c r="A35" s="159" t="s">
        <v>67</v>
      </c>
      <c r="B35" s="146"/>
      <c r="C35" s="146"/>
      <c r="D35" s="146"/>
      <c r="E35" s="146"/>
      <c r="F35" s="146"/>
      <c r="G35" s="146"/>
      <c r="H35" s="147"/>
    </row>
    <row r="36" spans="1:8" ht="15.75" customHeight="1" x14ac:dyDescent="0.25">
      <c r="A36" s="151" t="s">
        <v>68</v>
      </c>
      <c r="B36" s="152"/>
      <c r="C36" s="152"/>
      <c r="D36" s="153"/>
      <c r="E36" s="86">
        <f>E33-E23</f>
        <v>1934.8000000000002</v>
      </c>
      <c r="F36" s="58"/>
      <c r="G36" s="58"/>
      <c r="H36" s="58"/>
    </row>
    <row r="37" spans="1:8" ht="15.75" customHeight="1" x14ac:dyDescent="0.25">
      <c r="A37" s="151" t="s">
        <v>76</v>
      </c>
      <c r="B37" s="152"/>
      <c r="C37" s="152"/>
      <c r="D37" s="153"/>
      <c r="E37" s="86">
        <f>0.7*(E33-E23)</f>
        <v>1354.3600000000001</v>
      </c>
      <c r="F37" s="58"/>
      <c r="G37" s="58"/>
      <c r="H37" s="58"/>
    </row>
    <row r="38" spans="1:8" ht="15.75" customHeight="1" x14ac:dyDescent="0.25">
      <c r="A38" s="151" t="s">
        <v>70</v>
      </c>
      <c r="B38" s="152"/>
      <c r="C38" s="152"/>
      <c r="D38" s="153"/>
      <c r="E38" s="86">
        <f>E23/6</f>
        <v>522.5333333333333</v>
      </c>
      <c r="F38" s="58"/>
      <c r="G38" s="58"/>
      <c r="H38" s="58"/>
    </row>
    <row r="39" spans="1:8" ht="15.75" customHeight="1" x14ac:dyDescent="0.25">
      <c r="A39" s="17"/>
      <c r="B39" s="69"/>
      <c r="C39" s="59"/>
      <c r="D39" s="17"/>
      <c r="E39" s="91"/>
      <c r="F39" s="17"/>
      <c r="G39" s="17"/>
      <c r="H39" s="17"/>
    </row>
    <row r="40" spans="1:8" ht="15.75" customHeight="1" x14ac:dyDescent="0.25">
      <c r="A40" s="17"/>
      <c r="B40" s="69"/>
      <c r="C40" s="59"/>
      <c r="D40" s="17"/>
      <c r="E40" s="70"/>
      <c r="F40" s="17"/>
      <c r="G40" s="17"/>
      <c r="H40" s="17"/>
    </row>
    <row r="41" spans="1:8" ht="15.75" customHeight="1" x14ac:dyDescent="0.25">
      <c r="A41" s="17"/>
      <c r="B41" s="69"/>
      <c r="C41" s="59"/>
      <c r="D41" s="17"/>
      <c r="E41" s="70"/>
      <c r="F41" s="17"/>
      <c r="G41" s="17"/>
      <c r="H41" s="17"/>
    </row>
    <row r="42" spans="1:8" ht="15.75" customHeight="1" x14ac:dyDescent="0.25">
      <c r="A42" s="17"/>
      <c r="B42" s="69"/>
      <c r="C42" s="59"/>
      <c r="D42" s="17"/>
      <c r="E42" s="70"/>
      <c r="F42" s="17"/>
      <c r="G42" s="17"/>
      <c r="H42" s="17"/>
    </row>
    <row r="43" spans="1:8" ht="15.75" customHeight="1" x14ac:dyDescent="0.25">
      <c r="A43" s="17"/>
      <c r="B43" s="69"/>
      <c r="C43" s="59"/>
      <c r="D43" s="17"/>
      <c r="E43" s="70"/>
      <c r="F43" s="17"/>
      <c r="G43" s="17"/>
      <c r="H43" s="17"/>
    </row>
    <row r="44" spans="1:8" ht="15.75" customHeight="1" x14ac:dyDescent="0.25">
      <c r="A44" s="17"/>
      <c r="B44" s="69"/>
      <c r="C44" s="59"/>
      <c r="D44" s="17"/>
      <c r="E44" s="70"/>
      <c r="F44" s="17"/>
      <c r="G44" s="17"/>
      <c r="H44" s="17"/>
    </row>
    <row r="45" spans="1:8" ht="15.75" customHeight="1" x14ac:dyDescent="0.25">
      <c r="A45" s="17"/>
      <c r="B45" s="69"/>
      <c r="C45" s="59"/>
      <c r="D45" s="17"/>
      <c r="E45" s="70"/>
      <c r="F45" s="17"/>
      <c r="G45" s="17"/>
      <c r="H45" s="17"/>
    </row>
    <row r="46" spans="1:8" ht="15.75" customHeight="1" x14ac:dyDescent="0.25">
      <c r="A46" s="17"/>
      <c r="B46" s="69"/>
      <c r="C46" s="59"/>
      <c r="D46" s="17"/>
      <c r="E46" s="70"/>
      <c r="F46" s="17"/>
      <c r="G46" s="17"/>
      <c r="H46" s="17"/>
    </row>
    <row r="47" spans="1:8" ht="15.75" customHeight="1" x14ac:dyDescent="0.25">
      <c r="A47" s="17"/>
      <c r="B47" s="69"/>
      <c r="C47" s="59"/>
      <c r="D47" s="17"/>
      <c r="E47" s="70"/>
      <c r="F47" s="17"/>
      <c r="G47" s="17"/>
      <c r="H47" s="17"/>
    </row>
    <row r="48" spans="1:8" ht="15.75" customHeight="1" x14ac:dyDescent="0.25">
      <c r="A48" s="17"/>
      <c r="B48" s="69"/>
      <c r="C48" s="59"/>
      <c r="D48" s="17"/>
      <c r="E48" s="70"/>
      <c r="F48" s="17"/>
      <c r="G48" s="17"/>
      <c r="H48" s="17"/>
    </row>
    <row r="49" spans="1:8" ht="15.75" customHeight="1" x14ac:dyDescent="0.25">
      <c r="A49" s="17"/>
      <c r="B49" s="69"/>
      <c r="C49" s="59"/>
      <c r="D49" s="17"/>
      <c r="E49" s="70"/>
      <c r="F49" s="17"/>
      <c r="G49" s="17"/>
      <c r="H49" s="17"/>
    </row>
    <row r="50" spans="1:8" ht="15.75" customHeight="1" x14ac:dyDescent="0.25">
      <c r="A50" s="17"/>
      <c r="B50" s="69"/>
      <c r="C50" s="59"/>
      <c r="D50" s="17"/>
      <c r="E50" s="70"/>
      <c r="F50" s="17"/>
      <c r="G50" s="17"/>
      <c r="H50" s="17"/>
    </row>
    <row r="51" spans="1:8" ht="15.75" customHeight="1" x14ac:dyDescent="0.25">
      <c r="A51" s="17"/>
      <c r="B51" s="69"/>
      <c r="C51" s="59"/>
      <c r="D51" s="17"/>
      <c r="E51" s="70"/>
      <c r="F51" s="17"/>
      <c r="G51" s="17"/>
      <c r="H51" s="17"/>
    </row>
    <row r="52" spans="1:8" ht="15.75" customHeight="1" x14ac:dyDescent="0.25">
      <c r="A52" s="17"/>
      <c r="B52" s="69"/>
      <c r="C52" s="59"/>
      <c r="D52" s="17"/>
      <c r="E52" s="70"/>
      <c r="F52" s="17"/>
      <c r="G52" s="17"/>
      <c r="H52" s="17"/>
    </row>
    <row r="53" spans="1:8" ht="15.75" customHeight="1" x14ac:dyDescent="0.25">
      <c r="A53" s="17"/>
      <c r="B53" s="69"/>
      <c r="C53" s="59"/>
      <c r="D53" s="17"/>
      <c r="E53" s="70"/>
      <c r="F53" s="17"/>
      <c r="G53" s="17"/>
      <c r="H53" s="17"/>
    </row>
    <row r="54" spans="1:8" ht="15.75" customHeight="1" x14ac:dyDescent="0.25">
      <c r="A54" s="17"/>
      <c r="B54" s="69"/>
      <c r="C54" s="59"/>
      <c r="D54" s="17"/>
      <c r="E54" s="70"/>
      <c r="F54" s="17"/>
      <c r="G54" s="17"/>
      <c r="H54" s="17"/>
    </row>
    <row r="55" spans="1:8" ht="15.75" customHeight="1" x14ac:dyDescent="0.25">
      <c r="A55" s="17"/>
      <c r="B55" s="69"/>
      <c r="C55" s="59"/>
      <c r="D55" s="17"/>
      <c r="E55" s="70"/>
      <c r="F55" s="17"/>
      <c r="G55" s="17"/>
      <c r="H55" s="17"/>
    </row>
    <row r="56" spans="1:8" ht="15.75" customHeight="1" x14ac:dyDescent="0.25">
      <c r="A56" s="17"/>
      <c r="B56" s="69"/>
      <c r="C56" s="59"/>
      <c r="D56" s="17"/>
      <c r="E56" s="70"/>
      <c r="F56" s="17"/>
      <c r="G56" s="17"/>
      <c r="H56" s="17"/>
    </row>
    <row r="57" spans="1:8" ht="15.75" customHeight="1" x14ac:dyDescent="0.25">
      <c r="A57" s="17"/>
      <c r="B57" s="69"/>
      <c r="C57" s="59"/>
      <c r="D57" s="17"/>
      <c r="E57" s="70"/>
      <c r="F57" s="17"/>
      <c r="G57" s="17"/>
      <c r="H57" s="17"/>
    </row>
    <row r="58" spans="1:8" ht="15.75" customHeight="1" x14ac:dyDescent="0.25">
      <c r="A58" s="17"/>
      <c r="B58" s="69"/>
      <c r="C58" s="59"/>
      <c r="D58" s="17"/>
      <c r="E58" s="70"/>
      <c r="F58" s="17"/>
      <c r="G58" s="17"/>
      <c r="H58" s="17"/>
    </row>
    <row r="59" spans="1:8" ht="15.75" customHeight="1" x14ac:dyDescent="0.25">
      <c r="A59" s="17"/>
      <c r="B59" s="69"/>
      <c r="C59" s="59"/>
      <c r="D59" s="17"/>
      <c r="E59" s="70"/>
      <c r="F59" s="17"/>
      <c r="G59" s="17"/>
      <c r="H59" s="17"/>
    </row>
    <row r="60" spans="1:8" ht="15.75" customHeight="1" x14ac:dyDescent="0.25">
      <c r="A60" s="17"/>
      <c r="B60" s="69"/>
      <c r="C60" s="59"/>
      <c r="D60" s="17"/>
      <c r="E60" s="70"/>
      <c r="F60" s="17"/>
      <c r="G60" s="17"/>
      <c r="H60" s="17"/>
    </row>
    <row r="61" spans="1:8" ht="15.75" customHeight="1" x14ac:dyDescent="0.25">
      <c r="A61" s="17"/>
      <c r="B61" s="69"/>
      <c r="C61" s="59"/>
      <c r="D61" s="17"/>
      <c r="E61" s="70"/>
      <c r="F61" s="17"/>
      <c r="G61" s="17"/>
      <c r="H61" s="17"/>
    </row>
    <row r="62" spans="1:8" ht="15.75" customHeight="1" x14ac:dyDescent="0.25">
      <c r="A62" s="17"/>
      <c r="B62" s="69"/>
      <c r="C62" s="59"/>
      <c r="D62" s="17"/>
      <c r="E62" s="70"/>
      <c r="F62" s="17"/>
      <c r="G62" s="17"/>
      <c r="H62" s="17"/>
    </row>
    <row r="63" spans="1:8" ht="15.75" customHeight="1" x14ac:dyDescent="0.25">
      <c r="A63" s="17"/>
      <c r="B63" s="69"/>
      <c r="C63" s="59"/>
      <c r="D63" s="17"/>
      <c r="E63" s="70"/>
      <c r="F63" s="17"/>
      <c r="G63" s="17"/>
      <c r="H63" s="17"/>
    </row>
    <row r="64" spans="1:8" ht="15.75" customHeight="1" x14ac:dyDescent="0.25">
      <c r="A64" s="17"/>
      <c r="B64" s="69"/>
      <c r="C64" s="59"/>
      <c r="D64" s="17"/>
      <c r="E64" s="70"/>
      <c r="F64" s="17"/>
      <c r="G64" s="17"/>
      <c r="H64" s="17"/>
    </row>
    <row r="65" spans="1:8" ht="15.75" customHeight="1" x14ac:dyDescent="0.25">
      <c r="A65" s="17"/>
      <c r="B65" s="69"/>
      <c r="C65" s="59"/>
      <c r="D65" s="17"/>
      <c r="E65" s="70"/>
      <c r="F65" s="17"/>
      <c r="G65" s="17"/>
      <c r="H65" s="17"/>
    </row>
    <row r="66" spans="1:8" ht="15.75" customHeight="1" x14ac:dyDescent="0.25">
      <c r="A66" s="17"/>
      <c r="B66" s="69"/>
      <c r="C66" s="59"/>
      <c r="D66" s="17"/>
      <c r="E66" s="70"/>
      <c r="F66" s="17"/>
      <c r="G66" s="17"/>
      <c r="H66" s="17"/>
    </row>
    <row r="67" spans="1:8" ht="15.75" customHeight="1" x14ac:dyDescent="0.25">
      <c r="A67" s="17"/>
      <c r="B67" s="69"/>
      <c r="C67" s="59"/>
      <c r="D67" s="17"/>
      <c r="E67" s="70"/>
      <c r="F67" s="17"/>
      <c r="G67" s="17"/>
      <c r="H67" s="17"/>
    </row>
    <row r="68" spans="1:8" ht="15.75" customHeight="1" x14ac:dyDescent="0.25">
      <c r="A68" s="17"/>
      <c r="B68" s="69"/>
      <c r="C68" s="59"/>
      <c r="D68" s="17"/>
      <c r="E68" s="70"/>
      <c r="F68" s="17"/>
      <c r="G68" s="17"/>
      <c r="H68" s="17"/>
    </row>
    <row r="69" spans="1:8" ht="15.75" customHeight="1" x14ac:dyDescent="0.25">
      <c r="A69" s="17"/>
      <c r="B69" s="69"/>
      <c r="C69" s="59"/>
      <c r="D69" s="17"/>
      <c r="E69" s="70"/>
      <c r="F69" s="17"/>
      <c r="G69" s="17"/>
      <c r="H69" s="17"/>
    </row>
    <row r="70" spans="1:8" ht="15.75" customHeight="1" x14ac:dyDescent="0.25">
      <c r="A70" s="17"/>
      <c r="B70" s="69"/>
      <c r="C70" s="59"/>
      <c r="D70" s="17"/>
      <c r="E70" s="70"/>
      <c r="F70" s="17"/>
      <c r="G70" s="17"/>
      <c r="H70" s="17"/>
    </row>
    <row r="71" spans="1:8" ht="15.75" customHeight="1" x14ac:dyDescent="0.25">
      <c r="A71" s="17"/>
      <c r="B71" s="69"/>
      <c r="C71" s="59"/>
      <c r="D71" s="17"/>
      <c r="E71" s="70"/>
      <c r="F71" s="17"/>
      <c r="G71" s="17"/>
      <c r="H71" s="17"/>
    </row>
    <row r="72" spans="1:8" ht="15.75" customHeight="1" x14ac:dyDescent="0.25">
      <c r="A72" s="17"/>
      <c r="B72" s="69"/>
      <c r="C72" s="59"/>
      <c r="D72" s="17"/>
      <c r="E72" s="70"/>
      <c r="F72" s="17"/>
      <c r="G72" s="17"/>
      <c r="H72" s="17"/>
    </row>
    <row r="73" spans="1:8" ht="15.75" customHeight="1" x14ac:dyDescent="0.25">
      <c r="A73" s="17"/>
      <c r="B73" s="69"/>
      <c r="C73" s="59"/>
      <c r="D73" s="17"/>
      <c r="E73" s="70"/>
      <c r="F73" s="17"/>
      <c r="G73" s="17"/>
      <c r="H73" s="17"/>
    </row>
    <row r="74" spans="1:8" ht="15.75" customHeight="1" x14ac:dyDescent="0.25">
      <c r="A74" s="17"/>
      <c r="B74" s="69"/>
      <c r="C74" s="59"/>
      <c r="D74" s="17"/>
      <c r="E74" s="70"/>
      <c r="F74" s="17"/>
      <c r="G74" s="17"/>
      <c r="H74" s="17"/>
    </row>
    <row r="75" spans="1:8" ht="15.75" customHeight="1" x14ac:dyDescent="0.25">
      <c r="A75" s="17"/>
      <c r="B75" s="69"/>
      <c r="C75" s="59"/>
      <c r="D75" s="17"/>
      <c r="E75" s="70"/>
      <c r="F75" s="17"/>
      <c r="G75" s="17"/>
      <c r="H75" s="17"/>
    </row>
    <row r="76" spans="1:8" ht="15.75" customHeight="1" x14ac:dyDescent="0.25">
      <c r="A76" s="17"/>
      <c r="B76" s="69"/>
      <c r="C76" s="59"/>
      <c r="D76" s="17"/>
      <c r="E76" s="70"/>
      <c r="F76" s="17"/>
      <c r="G76" s="17"/>
      <c r="H76" s="17"/>
    </row>
    <row r="77" spans="1:8" ht="15.75" customHeight="1" x14ac:dyDescent="0.25">
      <c r="A77" s="17"/>
      <c r="B77" s="69"/>
      <c r="C77" s="59"/>
      <c r="D77" s="17"/>
      <c r="E77" s="70"/>
      <c r="F77" s="17"/>
      <c r="G77" s="17"/>
      <c r="H77" s="17"/>
    </row>
    <row r="78" spans="1:8" ht="15.75" customHeight="1" x14ac:dyDescent="0.25">
      <c r="A78" s="17"/>
      <c r="B78" s="69"/>
      <c r="C78" s="59"/>
      <c r="D78" s="17"/>
      <c r="E78" s="70"/>
      <c r="F78" s="17"/>
      <c r="G78" s="17"/>
      <c r="H78" s="17"/>
    </row>
    <row r="79" spans="1:8" ht="15.75" customHeight="1" x14ac:dyDescent="0.25">
      <c r="A79" s="17"/>
      <c r="B79" s="69"/>
      <c r="C79" s="59"/>
      <c r="D79" s="17"/>
      <c r="E79" s="70"/>
      <c r="F79" s="17"/>
      <c r="G79" s="17"/>
      <c r="H79" s="17"/>
    </row>
    <row r="80" spans="1:8" ht="15.75" customHeight="1" x14ac:dyDescent="0.25">
      <c r="A80" s="17"/>
      <c r="B80" s="69"/>
      <c r="C80" s="59"/>
      <c r="D80" s="17"/>
      <c r="E80" s="70"/>
      <c r="F80" s="17"/>
      <c r="G80" s="17"/>
      <c r="H80" s="17"/>
    </row>
    <row r="81" spans="1:8" ht="15.75" customHeight="1" x14ac:dyDescent="0.25">
      <c r="A81" s="17"/>
      <c r="B81" s="69"/>
      <c r="C81" s="59"/>
      <c r="D81" s="17"/>
      <c r="E81" s="70"/>
      <c r="F81" s="17"/>
      <c r="G81" s="17"/>
      <c r="H81" s="17"/>
    </row>
    <row r="82" spans="1:8" ht="15.75" customHeight="1" x14ac:dyDescent="0.25">
      <c r="A82" s="17"/>
      <c r="B82" s="69"/>
      <c r="C82" s="59"/>
      <c r="D82" s="17"/>
      <c r="E82" s="70"/>
      <c r="F82" s="17"/>
      <c r="G82" s="17"/>
      <c r="H82" s="17"/>
    </row>
    <row r="83" spans="1:8" ht="15.75" customHeight="1" x14ac:dyDescent="0.25">
      <c r="A83" s="17"/>
      <c r="B83" s="69"/>
      <c r="C83" s="59"/>
      <c r="D83" s="17"/>
      <c r="E83" s="70"/>
      <c r="F83" s="17"/>
      <c r="G83" s="17"/>
      <c r="H83" s="17"/>
    </row>
    <row r="84" spans="1:8" ht="15.75" customHeight="1" x14ac:dyDescent="0.25">
      <c r="A84" s="17"/>
      <c r="B84" s="69"/>
      <c r="C84" s="59"/>
      <c r="D84" s="17"/>
      <c r="E84" s="70"/>
      <c r="F84" s="17"/>
      <c r="G84" s="17"/>
      <c r="H84" s="17"/>
    </row>
    <row r="85" spans="1:8" ht="15.75" customHeight="1" x14ac:dyDescent="0.25">
      <c r="A85" s="17"/>
      <c r="B85" s="69"/>
      <c r="C85" s="59"/>
      <c r="D85" s="17"/>
      <c r="E85" s="70"/>
      <c r="F85" s="17"/>
      <c r="G85" s="17"/>
      <c r="H85" s="17"/>
    </row>
    <row r="86" spans="1:8" ht="15.75" customHeight="1" x14ac:dyDescent="0.25">
      <c r="A86" s="17"/>
      <c r="B86" s="69"/>
      <c r="C86" s="59"/>
      <c r="D86" s="17"/>
      <c r="E86" s="70"/>
      <c r="F86" s="17"/>
      <c r="G86" s="17"/>
      <c r="H86" s="17"/>
    </row>
    <row r="87" spans="1:8" ht="15.75" customHeight="1" x14ac:dyDescent="0.25">
      <c r="A87" s="17"/>
      <c r="B87" s="69"/>
      <c r="C87" s="59"/>
      <c r="D87" s="17"/>
      <c r="E87" s="70"/>
      <c r="F87" s="17"/>
      <c r="G87" s="17"/>
      <c r="H87" s="17"/>
    </row>
    <row r="88" spans="1:8" ht="15.75" customHeight="1" x14ac:dyDescent="0.25">
      <c r="A88" s="17"/>
      <c r="B88" s="69"/>
      <c r="C88" s="59"/>
      <c r="D88" s="17"/>
      <c r="E88" s="70"/>
      <c r="F88" s="17"/>
      <c r="G88" s="17"/>
      <c r="H88" s="17"/>
    </row>
    <row r="89" spans="1:8" ht="15.75" customHeight="1" x14ac:dyDescent="0.25">
      <c r="A89" s="17"/>
      <c r="B89" s="69"/>
      <c r="C89" s="59"/>
      <c r="D89" s="17"/>
      <c r="E89" s="70"/>
      <c r="F89" s="17"/>
      <c r="G89" s="17"/>
      <c r="H89" s="17"/>
    </row>
    <row r="90" spans="1:8" ht="15.75" customHeight="1" x14ac:dyDescent="0.25">
      <c r="A90" s="17"/>
      <c r="B90" s="69"/>
      <c r="C90" s="59"/>
      <c r="D90" s="17"/>
      <c r="E90" s="70"/>
      <c r="F90" s="17"/>
      <c r="G90" s="17"/>
      <c r="H90" s="17"/>
    </row>
    <row r="91" spans="1:8" ht="15.75" customHeight="1" x14ac:dyDescent="0.25">
      <c r="A91" s="17"/>
      <c r="B91" s="69"/>
      <c r="C91" s="59"/>
      <c r="D91" s="17"/>
      <c r="E91" s="70"/>
      <c r="F91" s="17"/>
      <c r="G91" s="17"/>
      <c r="H91" s="17"/>
    </row>
    <row r="92" spans="1:8" ht="15.75" customHeight="1" x14ac:dyDescent="0.25">
      <c r="A92" s="17"/>
      <c r="B92" s="69"/>
      <c r="C92" s="59"/>
      <c r="D92" s="17"/>
      <c r="E92" s="70"/>
      <c r="F92" s="17"/>
      <c r="G92" s="17"/>
      <c r="H92" s="17"/>
    </row>
    <row r="93" spans="1:8" ht="15.75" customHeight="1" x14ac:dyDescent="0.25">
      <c r="A93" s="17"/>
      <c r="B93" s="69"/>
      <c r="C93" s="59"/>
      <c r="D93" s="17"/>
      <c r="E93" s="70"/>
      <c r="F93" s="17"/>
      <c r="G93" s="17"/>
      <c r="H93" s="17"/>
    </row>
    <row r="94" spans="1:8" ht="15.75" customHeight="1" x14ac:dyDescent="0.25">
      <c r="A94" s="17"/>
      <c r="B94" s="69"/>
      <c r="C94" s="59"/>
      <c r="D94" s="17"/>
      <c r="E94" s="70"/>
      <c r="F94" s="17"/>
      <c r="G94" s="17"/>
      <c r="H94" s="17"/>
    </row>
    <row r="95" spans="1:8" ht="15.75" customHeight="1" x14ac:dyDescent="0.25">
      <c r="A95" s="17"/>
      <c r="B95" s="69"/>
      <c r="C95" s="59"/>
      <c r="D95" s="17"/>
      <c r="E95" s="70"/>
      <c r="F95" s="17"/>
      <c r="G95" s="17"/>
      <c r="H95" s="17"/>
    </row>
    <row r="96" spans="1:8" ht="15.75" customHeight="1" x14ac:dyDescent="0.25">
      <c r="A96" s="17"/>
      <c r="B96" s="69"/>
      <c r="C96" s="59"/>
      <c r="D96" s="17"/>
      <c r="E96" s="70"/>
      <c r="F96" s="17"/>
      <c r="G96" s="17"/>
      <c r="H96" s="17"/>
    </row>
    <row r="97" spans="1:8" ht="15.75" customHeight="1" x14ac:dyDescent="0.25">
      <c r="A97" s="17"/>
      <c r="B97" s="69"/>
      <c r="C97" s="59"/>
      <c r="D97" s="17"/>
      <c r="E97" s="70"/>
      <c r="F97" s="17"/>
      <c r="G97" s="17"/>
      <c r="H97" s="17"/>
    </row>
    <row r="98" spans="1:8" ht="15.75" customHeight="1" x14ac:dyDescent="0.25">
      <c r="A98" s="17"/>
      <c r="B98" s="69"/>
      <c r="C98" s="59"/>
      <c r="D98" s="17"/>
      <c r="E98" s="70"/>
      <c r="F98" s="17"/>
      <c r="G98" s="17"/>
      <c r="H98" s="17"/>
    </row>
    <row r="99" spans="1:8" ht="15.75" customHeight="1" x14ac:dyDescent="0.25">
      <c r="A99" s="17"/>
      <c r="B99" s="69"/>
      <c r="C99" s="59"/>
      <c r="D99" s="17"/>
      <c r="E99" s="70"/>
      <c r="F99" s="17"/>
      <c r="G99" s="17"/>
      <c r="H99" s="17"/>
    </row>
    <row r="100" spans="1:8" ht="15.75" customHeight="1" x14ac:dyDescent="0.25">
      <c r="A100" s="17"/>
      <c r="B100" s="69"/>
      <c r="C100" s="59"/>
      <c r="D100" s="17"/>
      <c r="E100" s="70"/>
      <c r="F100" s="17"/>
      <c r="G100" s="17"/>
      <c r="H100" s="17"/>
    </row>
  </sheetData>
  <mergeCells count="19">
    <mergeCell ref="A1:H1"/>
    <mergeCell ref="A2:B2"/>
    <mergeCell ref="C2:D2"/>
    <mergeCell ref="E2:F2"/>
    <mergeCell ref="G2:H2"/>
    <mergeCell ref="A5:H5"/>
    <mergeCell ref="A36:D36"/>
    <mergeCell ref="A37:D37"/>
    <mergeCell ref="A38:D38"/>
    <mergeCell ref="C3:D3"/>
    <mergeCell ref="A21:D21"/>
    <mergeCell ref="A22:D22"/>
    <mergeCell ref="A23:D23"/>
    <mergeCell ref="A25:H25"/>
    <mergeCell ref="A33:D33"/>
    <mergeCell ref="A35:H35"/>
    <mergeCell ref="E3:F3"/>
    <mergeCell ref="G3:H3"/>
    <mergeCell ref="A3:B3"/>
  </mergeCells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73E1D"/>
  </sheetPr>
  <dimension ref="A1:K101"/>
  <sheetViews>
    <sheetView tabSelected="1" workbookViewId="0">
      <pane ySplit="3" topLeftCell="A4" activePane="bottomLeft" state="frozen"/>
      <selection pane="bottomLeft" activeCell="E19" sqref="E19"/>
    </sheetView>
  </sheetViews>
  <sheetFormatPr defaultColWidth="14.42578125" defaultRowHeight="15" customHeight="1" x14ac:dyDescent="0.25"/>
  <cols>
    <col min="1" max="1" width="10" customWidth="1"/>
    <col min="2" max="2" width="26" customWidth="1"/>
    <col min="3" max="8" width="16" customWidth="1"/>
    <col min="9" max="9" width="19.28515625" customWidth="1"/>
    <col min="10" max="10" width="20" customWidth="1"/>
  </cols>
  <sheetData>
    <row r="1" spans="1:11" ht="27.75" customHeight="1" x14ac:dyDescent="0.25">
      <c r="A1" s="163" t="s">
        <v>112</v>
      </c>
      <c r="B1" s="146"/>
      <c r="C1" s="146"/>
      <c r="D1" s="146"/>
      <c r="E1" s="146"/>
      <c r="F1" s="146"/>
      <c r="G1" s="146"/>
      <c r="H1" s="146"/>
      <c r="I1" s="146"/>
      <c r="J1" s="147"/>
    </row>
    <row r="2" spans="1:11" ht="18" customHeight="1" x14ac:dyDescent="0.25">
      <c r="A2" s="164" t="s">
        <v>34</v>
      </c>
      <c r="B2" s="147"/>
      <c r="C2" s="164" t="s">
        <v>35</v>
      </c>
      <c r="D2" s="147"/>
      <c r="E2" s="164" t="s">
        <v>36</v>
      </c>
      <c r="F2" s="146"/>
      <c r="G2" s="146"/>
      <c r="H2" s="147"/>
      <c r="I2" s="164" t="s">
        <v>37</v>
      </c>
      <c r="J2" s="147"/>
    </row>
    <row r="3" spans="1:11" ht="21.75" customHeight="1" x14ac:dyDescent="0.25">
      <c r="A3" s="162">
        <f>E34</f>
        <v>5070</v>
      </c>
      <c r="B3" s="147"/>
      <c r="C3" s="154">
        <f>E24</f>
        <v>2768</v>
      </c>
      <c r="D3" s="147"/>
      <c r="E3" s="160">
        <f>E34-E24</f>
        <v>2302</v>
      </c>
      <c r="F3" s="146"/>
      <c r="G3" s="146"/>
      <c r="H3" s="147"/>
      <c r="I3" s="161">
        <f>IF(E34&gt;0,(E34-E24)/E34,0)</f>
        <v>0.45404339250493098</v>
      </c>
      <c r="J3" s="147"/>
    </row>
    <row r="4" spans="1:11" ht="14.25" customHeight="1" x14ac:dyDescent="0.25">
      <c r="A4" s="17"/>
      <c r="B4" s="17"/>
      <c r="C4" s="17"/>
      <c r="D4" s="17"/>
      <c r="E4" s="17"/>
      <c r="F4" s="92"/>
      <c r="G4" s="17"/>
      <c r="H4" s="17"/>
      <c r="I4" s="17"/>
      <c r="J4" s="17"/>
    </row>
    <row r="5" spans="1:11" ht="19.5" customHeight="1" x14ac:dyDescent="0.25">
      <c r="A5" s="150" t="s">
        <v>113</v>
      </c>
      <c r="B5" s="146"/>
      <c r="C5" s="146"/>
      <c r="D5" s="146"/>
      <c r="E5" s="146"/>
      <c r="F5" s="146"/>
      <c r="G5" s="146"/>
      <c r="H5" s="146"/>
      <c r="I5" s="146"/>
      <c r="J5" s="147"/>
    </row>
    <row r="6" spans="1:11" ht="15" customHeight="1" x14ac:dyDescent="0.25">
      <c r="A6" s="36" t="s">
        <v>22</v>
      </c>
      <c r="B6" s="36" t="s">
        <v>39</v>
      </c>
      <c r="C6" s="60" t="s">
        <v>40</v>
      </c>
      <c r="D6" s="36" t="s">
        <v>41</v>
      </c>
      <c r="E6" s="36" t="s">
        <v>42</v>
      </c>
      <c r="F6" s="93" t="s">
        <v>114</v>
      </c>
      <c r="G6" s="36"/>
      <c r="H6" s="36" t="s">
        <v>43</v>
      </c>
      <c r="I6" s="36" t="s">
        <v>44</v>
      </c>
      <c r="J6" s="36"/>
    </row>
    <row r="7" spans="1:11" ht="15" customHeight="1" x14ac:dyDescent="0.25">
      <c r="A7" s="40" t="s">
        <v>107</v>
      </c>
      <c r="B7" s="72" t="s">
        <v>81</v>
      </c>
      <c r="C7" s="73" t="s">
        <v>115</v>
      </c>
      <c r="D7" s="37" t="s">
        <v>83</v>
      </c>
      <c r="E7" s="39">
        <v>60</v>
      </c>
      <c r="F7" s="139">
        <v>46285</v>
      </c>
      <c r="G7" s="39"/>
      <c r="H7" s="37"/>
      <c r="I7" s="37" t="s">
        <v>84</v>
      </c>
      <c r="J7" s="37"/>
    </row>
    <row r="8" spans="1:11" ht="15" customHeight="1" x14ac:dyDescent="0.25">
      <c r="A8" s="40" t="s">
        <v>107</v>
      </c>
      <c r="B8" s="76" t="s">
        <v>411</v>
      </c>
      <c r="C8" s="63"/>
      <c r="D8" s="40"/>
      <c r="E8" s="42">
        <v>200</v>
      </c>
      <c r="F8" s="140">
        <v>46285</v>
      </c>
      <c r="G8" s="39"/>
      <c r="H8" s="37"/>
      <c r="I8" s="37"/>
      <c r="J8" s="37"/>
    </row>
    <row r="9" spans="1:11" ht="15" customHeight="1" x14ac:dyDescent="0.25">
      <c r="A9" s="40" t="s">
        <v>107</v>
      </c>
      <c r="B9" s="76" t="s">
        <v>93</v>
      </c>
      <c r="C9" s="63" t="s">
        <v>116</v>
      </c>
      <c r="D9" s="40" t="s">
        <v>83</v>
      </c>
      <c r="E9" s="42">
        <v>288</v>
      </c>
      <c r="F9" s="140">
        <v>46285</v>
      </c>
      <c r="G9" s="42"/>
      <c r="H9" s="40"/>
      <c r="I9" s="40" t="s">
        <v>412</v>
      </c>
      <c r="J9" s="40"/>
    </row>
    <row r="10" spans="1:11" ht="15" customHeight="1" x14ac:dyDescent="0.25">
      <c r="A10" s="37" t="s">
        <v>107</v>
      </c>
      <c r="B10" s="72" t="s">
        <v>412</v>
      </c>
      <c r="C10" s="62"/>
      <c r="D10" s="40"/>
      <c r="E10" s="39">
        <v>100</v>
      </c>
      <c r="F10" s="140">
        <v>46285</v>
      </c>
      <c r="G10" s="39"/>
      <c r="H10" s="37"/>
      <c r="I10" s="37" t="s">
        <v>412</v>
      </c>
      <c r="J10" s="37"/>
    </row>
    <row r="11" spans="1:11" ht="15" customHeight="1" x14ac:dyDescent="0.25">
      <c r="A11" s="40" t="s">
        <v>107</v>
      </c>
      <c r="B11" s="76" t="s">
        <v>413</v>
      </c>
      <c r="C11" s="63"/>
      <c r="D11" s="40"/>
      <c r="E11" s="42">
        <v>65</v>
      </c>
      <c r="F11" s="140">
        <v>46285</v>
      </c>
      <c r="G11" s="42"/>
      <c r="H11" s="40"/>
      <c r="I11" s="40" t="s">
        <v>414</v>
      </c>
      <c r="J11" s="40"/>
    </row>
    <row r="12" spans="1:11" s="138" customFormat="1" ht="15" customHeight="1" x14ac:dyDescent="0.25">
      <c r="A12" s="141"/>
      <c r="B12" s="72" t="s">
        <v>407</v>
      </c>
      <c r="C12" s="62"/>
      <c r="D12" s="40" t="s">
        <v>90</v>
      </c>
      <c r="E12" s="39">
        <v>200</v>
      </c>
      <c r="F12" s="139">
        <v>46285</v>
      </c>
      <c r="G12" s="39"/>
      <c r="H12" s="37"/>
      <c r="I12" s="37"/>
      <c r="J12" s="37"/>
      <c r="K12" s="142">
        <f>SUM(E6:E14)</f>
        <v>1500</v>
      </c>
    </row>
    <row r="13" spans="1:11" ht="15" customHeight="1" x14ac:dyDescent="0.25">
      <c r="A13" s="37" t="s">
        <v>107</v>
      </c>
      <c r="B13" s="76" t="s">
        <v>49</v>
      </c>
      <c r="C13" s="63"/>
      <c r="D13" s="40" t="s">
        <v>90</v>
      </c>
      <c r="E13" s="42">
        <v>240</v>
      </c>
      <c r="F13" s="140">
        <v>46285</v>
      </c>
      <c r="G13" s="141"/>
      <c r="H13" s="40"/>
      <c r="I13" s="40" t="s">
        <v>415</v>
      </c>
      <c r="J13" s="40"/>
    </row>
    <row r="14" spans="1:11" ht="15" customHeight="1" x14ac:dyDescent="0.25">
      <c r="A14" s="37"/>
      <c r="B14" s="76" t="s">
        <v>419</v>
      </c>
      <c r="C14" s="63"/>
      <c r="D14" s="40"/>
      <c r="E14" s="42">
        <v>347</v>
      </c>
      <c r="F14" s="140"/>
      <c r="H14" s="40"/>
      <c r="I14" s="40"/>
      <c r="J14" s="40"/>
    </row>
    <row r="15" spans="1:11" ht="15" customHeight="1" x14ac:dyDescent="0.25">
      <c r="A15" s="40" t="s">
        <v>107</v>
      </c>
      <c r="B15" s="72" t="s">
        <v>53</v>
      </c>
      <c r="C15" s="62"/>
      <c r="D15" s="37" t="s">
        <v>92</v>
      </c>
      <c r="E15" s="39">
        <v>140</v>
      </c>
      <c r="F15" s="139">
        <v>46295</v>
      </c>
      <c r="G15" s="42"/>
      <c r="H15" s="37"/>
      <c r="I15" s="37" t="s">
        <v>416</v>
      </c>
      <c r="J15" s="37"/>
    </row>
    <row r="16" spans="1:11" ht="15" customHeight="1" x14ac:dyDescent="0.25">
      <c r="A16" s="37" t="s">
        <v>107</v>
      </c>
      <c r="B16" s="76" t="s">
        <v>54</v>
      </c>
      <c r="C16" s="63"/>
      <c r="D16" s="37" t="s">
        <v>92</v>
      </c>
      <c r="E16" s="42">
        <v>288</v>
      </c>
      <c r="F16" s="139">
        <v>46295</v>
      </c>
      <c r="G16" s="39"/>
      <c r="H16" s="31"/>
      <c r="I16" s="31" t="s">
        <v>415</v>
      </c>
      <c r="J16" s="31"/>
    </row>
    <row r="17" spans="1:11" ht="15" customHeight="1" x14ac:dyDescent="0.25">
      <c r="A17" s="40" t="s">
        <v>107</v>
      </c>
      <c r="B17" s="72" t="s">
        <v>55</v>
      </c>
      <c r="C17" s="62"/>
      <c r="D17" s="37" t="s">
        <v>92</v>
      </c>
      <c r="E17" s="39">
        <v>100</v>
      </c>
      <c r="F17" s="139">
        <v>46295</v>
      </c>
      <c r="G17" s="39"/>
      <c r="H17" s="31"/>
      <c r="I17" s="31" t="s">
        <v>417</v>
      </c>
      <c r="J17" s="31"/>
    </row>
    <row r="18" spans="1:11" ht="15" customHeight="1" x14ac:dyDescent="0.25">
      <c r="A18" s="40" t="s">
        <v>107</v>
      </c>
      <c r="B18" s="31" t="s">
        <v>84</v>
      </c>
      <c r="C18" s="64"/>
      <c r="D18" s="31" t="s">
        <v>92</v>
      </c>
      <c r="E18" s="39">
        <v>540</v>
      </c>
      <c r="F18" s="139">
        <v>46295</v>
      </c>
      <c r="G18" s="39"/>
      <c r="H18" s="31"/>
      <c r="I18" s="31"/>
      <c r="J18" s="31"/>
    </row>
    <row r="19" spans="1:11" ht="15" customHeight="1" x14ac:dyDescent="0.25">
      <c r="A19" s="40" t="s">
        <v>107</v>
      </c>
      <c r="B19" s="31" t="s">
        <v>117</v>
      </c>
      <c r="C19" s="64"/>
      <c r="D19" s="31" t="s">
        <v>92</v>
      </c>
      <c r="E19" s="39">
        <v>200</v>
      </c>
      <c r="F19" s="139">
        <v>46295</v>
      </c>
      <c r="G19" s="39"/>
      <c r="H19" s="31"/>
      <c r="I19" s="31"/>
      <c r="J19" s="31"/>
      <c r="K19" s="142">
        <f>SUM(E15:E21)</f>
        <v>1368</v>
      </c>
    </row>
    <row r="20" spans="1:11" ht="15" customHeight="1" x14ac:dyDescent="0.25">
      <c r="A20" s="37" t="s">
        <v>107</v>
      </c>
      <c r="B20" s="72" t="s">
        <v>407</v>
      </c>
      <c r="C20" s="62"/>
      <c r="D20" s="40" t="s">
        <v>90</v>
      </c>
      <c r="E20" s="39" t="s">
        <v>86</v>
      </c>
      <c r="F20" s="139">
        <v>46295</v>
      </c>
      <c r="G20" s="39"/>
      <c r="H20" s="31"/>
      <c r="I20" s="31"/>
      <c r="J20" s="31"/>
    </row>
    <row r="21" spans="1:11" ht="15" customHeight="1" x14ac:dyDescent="0.25">
      <c r="A21" s="31"/>
      <c r="B21" s="31" t="s">
        <v>418</v>
      </c>
      <c r="C21" s="64"/>
      <c r="D21" s="31"/>
      <c r="E21" s="39">
        <v>100</v>
      </c>
      <c r="F21" s="139">
        <v>46295</v>
      </c>
      <c r="G21" s="39"/>
      <c r="H21" s="31"/>
      <c r="I21" s="31"/>
      <c r="J21" s="31"/>
    </row>
    <row r="22" spans="1:11" ht="15" customHeight="1" x14ac:dyDescent="0.25">
      <c r="A22" s="155" t="s">
        <v>56</v>
      </c>
      <c r="B22" s="152"/>
      <c r="C22" s="152"/>
      <c r="D22" s="153"/>
      <c r="E22" s="43">
        <f>SUM(E7:E19)</f>
        <v>2768</v>
      </c>
      <c r="F22" s="94"/>
      <c r="G22" s="43"/>
      <c r="H22" s="44"/>
      <c r="I22" s="44"/>
      <c r="J22" s="44"/>
    </row>
    <row r="23" spans="1:11" ht="15" customHeight="1" x14ac:dyDescent="0.25">
      <c r="A23" s="156" t="s">
        <v>57</v>
      </c>
      <c r="B23" s="152"/>
      <c r="C23" s="152"/>
      <c r="D23" s="153"/>
      <c r="E23" s="45"/>
      <c r="F23" s="95"/>
      <c r="G23" s="45"/>
      <c r="H23" s="44"/>
      <c r="I23" s="44"/>
      <c r="J23" s="44"/>
    </row>
    <row r="24" spans="1:11" ht="15" customHeight="1" x14ac:dyDescent="0.25">
      <c r="A24" s="157" t="s">
        <v>58</v>
      </c>
      <c r="B24" s="152"/>
      <c r="C24" s="152"/>
      <c r="D24" s="153"/>
      <c r="E24" s="46">
        <f>E22+E23</f>
        <v>2768</v>
      </c>
      <c r="F24" s="96"/>
      <c r="G24" s="46"/>
      <c r="H24" s="47"/>
      <c r="I24" s="47"/>
      <c r="J24" s="47"/>
    </row>
    <row r="25" spans="1:11" ht="15.75" customHeight="1" x14ac:dyDescent="0.25">
      <c r="A25" s="17"/>
      <c r="B25" s="17"/>
      <c r="C25" s="17"/>
      <c r="D25" s="17"/>
      <c r="E25" s="17"/>
      <c r="F25" s="92"/>
      <c r="G25" s="17"/>
      <c r="H25" s="17"/>
      <c r="I25" s="17"/>
      <c r="J25" s="17"/>
    </row>
    <row r="26" spans="1:11" ht="19.5" customHeight="1" x14ac:dyDescent="0.25">
      <c r="A26" s="158" t="s">
        <v>118</v>
      </c>
      <c r="B26" s="146"/>
      <c r="C26" s="146"/>
      <c r="D26" s="146"/>
      <c r="E26" s="146"/>
      <c r="F26" s="146"/>
      <c r="G26" s="146"/>
      <c r="H26" s="146"/>
      <c r="I26" s="146"/>
      <c r="J26" s="147"/>
    </row>
    <row r="27" spans="1:11" ht="15" customHeight="1" x14ac:dyDescent="0.25">
      <c r="A27" s="48" t="s">
        <v>22</v>
      </c>
      <c r="B27" s="48" t="s">
        <v>39</v>
      </c>
      <c r="C27" s="48" t="s">
        <v>40</v>
      </c>
      <c r="D27" s="48" t="s">
        <v>41</v>
      </c>
      <c r="E27" s="48" t="s">
        <v>42</v>
      </c>
      <c r="F27" s="97"/>
      <c r="G27" s="48"/>
      <c r="H27" s="48" t="s">
        <v>60</v>
      </c>
      <c r="I27" s="48" t="s">
        <v>44</v>
      </c>
      <c r="J27" s="48"/>
    </row>
    <row r="28" spans="1:11" ht="15" customHeight="1" x14ac:dyDescent="0.25">
      <c r="A28" s="49" t="s">
        <v>107</v>
      </c>
      <c r="B28" s="50" t="s">
        <v>108</v>
      </c>
      <c r="C28" s="66" t="s">
        <v>62</v>
      </c>
      <c r="D28" s="49" t="s">
        <v>50</v>
      </c>
      <c r="E28" s="86">
        <v>2870</v>
      </c>
      <c r="F28" s="98"/>
      <c r="G28" s="51"/>
      <c r="H28" s="49"/>
      <c r="I28" s="49"/>
      <c r="J28" s="49"/>
    </row>
    <row r="29" spans="1:11" ht="15" customHeight="1" x14ac:dyDescent="0.25">
      <c r="A29" s="52" t="s">
        <v>107</v>
      </c>
      <c r="B29" s="53" t="s">
        <v>109</v>
      </c>
      <c r="C29" s="67" t="s">
        <v>62</v>
      </c>
      <c r="D29" s="52" t="s">
        <v>50</v>
      </c>
      <c r="E29" s="88">
        <v>2200</v>
      </c>
      <c r="F29" s="99"/>
      <c r="G29" s="54"/>
      <c r="H29" s="52"/>
      <c r="I29" s="52"/>
      <c r="J29" s="52"/>
    </row>
    <row r="30" spans="1:11" ht="15" customHeight="1" x14ac:dyDescent="0.25">
      <c r="A30" s="49"/>
      <c r="B30" s="50"/>
      <c r="C30" s="49"/>
      <c r="D30" s="52" t="s">
        <v>50</v>
      </c>
      <c r="E30" s="51"/>
      <c r="F30" s="98"/>
      <c r="G30" s="51"/>
      <c r="H30" s="49"/>
      <c r="I30" s="49"/>
      <c r="J30" s="49"/>
    </row>
    <row r="31" spans="1:11" ht="15" customHeight="1" x14ac:dyDescent="0.25">
      <c r="A31" s="52"/>
      <c r="B31" s="53"/>
      <c r="C31" s="52"/>
      <c r="D31" s="52"/>
      <c r="E31" s="54"/>
      <c r="F31" s="99"/>
      <c r="G31" s="54"/>
      <c r="H31" s="52"/>
      <c r="I31" s="52"/>
      <c r="J31" s="52"/>
    </row>
    <row r="32" spans="1:11" ht="15" customHeight="1" x14ac:dyDescent="0.25">
      <c r="A32" s="55"/>
      <c r="B32" s="55"/>
      <c r="C32" s="55"/>
      <c r="D32" s="55"/>
      <c r="E32" s="56"/>
      <c r="F32" s="100"/>
      <c r="G32" s="56"/>
      <c r="H32" s="55"/>
      <c r="I32" s="55"/>
      <c r="J32" s="55"/>
    </row>
    <row r="33" spans="1:10" ht="15" customHeight="1" x14ac:dyDescent="0.25">
      <c r="A33" s="55"/>
      <c r="B33" s="55"/>
      <c r="C33" s="55"/>
      <c r="D33" s="55"/>
      <c r="E33" s="56"/>
      <c r="F33" s="100"/>
      <c r="G33" s="56"/>
      <c r="H33" s="55"/>
      <c r="I33" s="55"/>
      <c r="J33" s="55"/>
    </row>
    <row r="34" spans="1:10" ht="15" customHeight="1" x14ac:dyDescent="0.25">
      <c r="A34" s="157" t="s">
        <v>66</v>
      </c>
      <c r="B34" s="152"/>
      <c r="C34" s="152"/>
      <c r="D34" s="153"/>
      <c r="E34" s="46">
        <f>SUM(E28:E33)</f>
        <v>5070</v>
      </c>
      <c r="F34" s="96"/>
      <c r="G34" s="46"/>
      <c r="H34" s="47"/>
      <c r="I34" s="47"/>
      <c r="J34" s="47"/>
    </row>
    <row r="35" spans="1:10" ht="15.75" customHeight="1" x14ac:dyDescent="0.25">
      <c r="A35" s="17"/>
      <c r="B35" s="17"/>
      <c r="C35" s="17"/>
      <c r="D35" s="17"/>
      <c r="E35" s="17"/>
      <c r="F35" s="92"/>
      <c r="G35" s="17"/>
      <c r="H35" s="17"/>
      <c r="I35" s="17"/>
      <c r="J35" s="17"/>
    </row>
    <row r="36" spans="1:10" ht="19.5" customHeight="1" x14ac:dyDescent="0.25">
      <c r="A36" s="159" t="s">
        <v>67</v>
      </c>
      <c r="B36" s="146"/>
      <c r="C36" s="146"/>
      <c r="D36" s="146"/>
      <c r="E36" s="146"/>
      <c r="F36" s="146"/>
      <c r="G36" s="146"/>
      <c r="H36" s="146"/>
      <c r="I36" s="146"/>
      <c r="J36" s="147"/>
    </row>
    <row r="37" spans="1:10" ht="15" customHeight="1" x14ac:dyDescent="0.25">
      <c r="A37" s="151" t="s">
        <v>68</v>
      </c>
      <c r="B37" s="152"/>
      <c r="C37" s="152"/>
      <c r="D37" s="153"/>
      <c r="E37" s="57">
        <f>E34-E24</f>
        <v>2302</v>
      </c>
      <c r="F37" s="101"/>
      <c r="G37" s="57"/>
      <c r="H37" s="58"/>
      <c r="I37" s="58"/>
      <c r="J37" s="58"/>
    </row>
    <row r="38" spans="1:10" ht="15" customHeight="1" x14ac:dyDescent="0.25">
      <c r="A38" s="151" t="s">
        <v>76</v>
      </c>
      <c r="B38" s="152"/>
      <c r="C38" s="152"/>
      <c r="D38" s="153"/>
      <c r="E38" s="57">
        <f>0.7*(E34-E24)</f>
        <v>1611.3999999999999</v>
      </c>
      <c r="F38" s="101"/>
      <c r="G38" s="57"/>
      <c r="H38" s="58"/>
      <c r="I38" s="58"/>
      <c r="J38" s="58"/>
    </row>
    <row r="39" spans="1:10" ht="15" customHeight="1" x14ac:dyDescent="0.25">
      <c r="A39" s="151" t="s">
        <v>70</v>
      </c>
      <c r="B39" s="152"/>
      <c r="C39" s="152"/>
      <c r="D39" s="153"/>
      <c r="E39" s="57">
        <f>E24/6</f>
        <v>461.33333333333331</v>
      </c>
      <c r="F39" s="101"/>
      <c r="G39" s="57"/>
      <c r="H39" s="58"/>
      <c r="I39" s="58"/>
      <c r="J39" s="58"/>
    </row>
    <row r="40" spans="1:10" ht="15.75" customHeight="1" x14ac:dyDescent="0.25">
      <c r="A40" s="17"/>
      <c r="B40" s="17"/>
      <c r="C40" s="17"/>
      <c r="D40" s="17"/>
      <c r="E40" s="17"/>
      <c r="F40" s="92"/>
      <c r="G40" s="17"/>
      <c r="H40" s="17"/>
      <c r="I40" s="17"/>
      <c r="J40" s="17"/>
    </row>
    <row r="41" spans="1:10" ht="15.75" customHeight="1" x14ac:dyDescent="0.25">
      <c r="A41" s="17"/>
      <c r="B41" s="17"/>
      <c r="C41" s="17"/>
      <c r="D41" s="17"/>
      <c r="E41" s="17"/>
      <c r="F41" s="92"/>
      <c r="G41" s="17"/>
      <c r="H41" s="17"/>
      <c r="I41" s="17"/>
      <c r="J41" s="17"/>
    </row>
    <row r="42" spans="1:10" ht="15.75" customHeight="1" x14ac:dyDescent="0.25">
      <c r="A42" s="17"/>
      <c r="B42" s="17"/>
      <c r="C42" s="17"/>
      <c r="D42" s="17"/>
      <c r="E42" s="17"/>
      <c r="F42" s="92"/>
      <c r="G42" s="17"/>
      <c r="H42" s="17"/>
      <c r="I42" s="17"/>
      <c r="J42" s="17"/>
    </row>
    <row r="43" spans="1:10" ht="15.75" customHeight="1" x14ac:dyDescent="0.25">
      <c r="A43" s="17"/>
      <c r="B43" s="17"/>
      <c r="C43" s="17"/>
      <c r="D43" s="17"/>
      <c r="E43" s="17"/>
      <c r="F43" s="92"/>
      <c r="G43" s="17"/>
      <c r="H43" s="17"/>
      <c r="I43" s="17"/>
      <c r="J43" s="17"/>
    </row>
    <row r="44" spans="1:10" ht="15.75" customHeight="1" x14ac:dyDescent="0.25">
      <c r="A44" s="17"/>
      <c r="B44" s="17"/>
      <c r="C44" s="17"/>
      <c r="D44" s="17"/>
      <c r="E44" s="17"/>
      <c r="F44" s="92"/>
      <c r="G44" s="17"/>
      <c r="H44" s="17"/>
      <c r="I44" s="17"/>
      <c r="J44" s="17"/>
    </row>
    <row r="45" spans="1:10" ht="15.75" customHeight="1" x14ac:dyDescent="0.25">
      <c r="A45" s="17"/>
      <c r="B45" s="17"/>
      <c r="C45" s="17"/>
      <c r="D45" s="17"/>
      <c r="E45" s="17"/>
      <c r="F45" s="92"/>
      <c r="G45" s="17"/>
      <c r="H45" s="17"/>
      <c r="I45" s="17"/>
      <c r="J45" s="17"/>
    </row>
    <row r="46" spans="1:10" ht="15.75" customHeight="1" x14ac:dyDescent="0.25">
      <c r="A46" s="17"/>
      <c r="B46" s="17"/>
      <c r="C46" s="17"/>
      <c r="D46" s="17"/>
      <c r="E46" s="17"/>
      <c r="F46" s="92"/>
      <c r="G46" s="17"/>
      <c r="H46" s="17"/>
      <c r="I46" s="17"/>
      <c r="J46" s="17"/>
    </row>
    <row r="47" spans="1:10" ht="15.75" customHeight="1" x14ac:dyDescent="0.25">
      <c r="A47" s="17"/>
      <c r="B47" s="17"/>
      <c r="C47" s="17"/>
      <c r="D47" s="17"/>
      <c r="E47" s="17"/>
      <c r="F47" s="92"/>
      <c r="G47" s="17"/>
      <c r="H47" s="17"/>
      <c r="I47" s="17"/>
      <c r="J47" s="17"/>
    </row>
    <row r="48" spans="1:10" ht="15.75" customHeight="1" x14ac:dyDescent="0.25">
      <c r="A48" s="17"/>
      <c r="B48" s="17"/>
      <c r="C48" s="17"/>
      <c r="D48" s="17"/>
      <c r="E48" s="17"/>
      <c r="F48" s="92"/>
      <c r="G48" s="17"/>
      <c r="H48" s="17"/>
      <c r="I48" s="17"/>
      <c r="J48" s="17"/>
    </row>
    <row r="49" spans="1:10" ht="15.75" customHeight="1" x14ac:dyDescent="0.25">
      <c r="A49" s="17"/>
      <c r="B49" s="17"/>
      <c r="C49" s="17"/>
      <c r="D49" s="17"/>
      <c r="E49" s="17"/>
      <c r="F49" s="92"/>
      <c r="G49" s="17"/>
      <c r="H49" s="17"/>
      <c r="I49" s="17"/>
      <c r="J49" s="17"/>
    </row>
    <row r="50" spans="1:10" ht="15.75" customHeight="1" x14ac:dyDescent="0.25">
      <c r="A50" s="17"/>
      <c r="B50" s="17"/>
      <c r="C50" s="17"/>
      <c r="D50" s="17"/>
      <c r="E50" s="17"/>
      <c r="F50" s="92"/>
      <c r="G50" s="17"/>
      <c r="H50" s="17"/>
      <c r="I50" s="17"/>
      <c r="J50" s="17"/>
    </row>
    <row r="51" spans="1:10" ht="15.75" customHeight="1" x14ac:dyDescent="0.25">
      <c r="A51" s="17"/>
      <c r="B51" s="17"/>
      <c r="C51" s="17"/>
      <c r="D51" s="17"/>
      <c r="E51" s="17"/>
      <c r="F51" s="92"/>
      <c r="G51" s="17"/>
      <c r="H51" s="17"/>
      <c r="I51" s="17"/>
      <c r="J51" s="17"/>
    </row>
    <row r="52" spans="1:10" ht="15.75" customHeight="1" x14ac:dyDescent="0.25">
      <c r="A52" s="17"/>
      <c r="B52" s="17"/>
      <c r="C52" s="17"/>
      <c r="D52" s="17"/>
      <c r="E52" s="17"/>
      <c r="F52" s="92"/>
      <c r="G52" s="17"/>
      <c r="H52" s="17"/>
      <c r="I52" s="17"/>
      <c r="J52" s="17"/>
    </row>
    <row r="53" spans="1:10" ht="15.75" customHeight="1" x14ac:dyDescent="0.25">
      <c r="A53" s="17"/>
      <c r="B53" s="17"/>
      <c r="C53" s="17"/>
      <c r="D53" s="17"/>
      <c r="E53" s="17"/>
      <c r="F53" s="92"/>
      <c r="G53" s="17"/>
      <c r="H53" s="17"/>
      <c r="I53" s="17"/>
      <c r="J53" s="17"/>
    </row>
    <row r="54" spans="1:10" ht="15.75" customHeight="1" x14ac:dyDescent="0.25">
      <c r="A54" s="17"/>
      <c r="B54" s="17"/>
      <c r="C54" s="17"/>
      <c r="D54" s="17"/>
      <c r="E54" s="17"/>
      <c r="F54" s="92"/>
      <c r="G54" s="17"/>
      <c r="H54" s="17"/>
      <c r="I54" s="17"/>
      <c r="J54" s="17"/>
    </row>
    <row r="55" spans="1:10" ht="15.75" customHeight="1" x14ac:dyDescent="0.25">
      <c r="A55" s="17"/>
      <c r="B55" s="17"/>
      <c r="C55" s="17"/>
      <c r="D55" s="17"/>
      <c r="E55" s="17"/>
      <c r="F55" s="92"/>
      <c r="G55" s="17"/>
      <c r="H55" s="17"/>
      <c r="I55" s="17"/>
      <c r="J55" s="17"/>
    </row>
    <row r="56" spans="1:10" ht="15.75" customHeight="1" x14ac:dyDescent="0.25">
      <c r="A56" s="17"/>
      <c r="B56" s="17"/>
      <c r="C56" s="17"/>
      <c r="D56" s="17"/>
      <c r="E56" s="17"/>
      <c r="F56" s="92"/>
      <c r="G56" s="17"/>
      <c r="H56" s="17"/>
      <c r="I56" s="17"/>
      <c r="J56" s="17"/>
    </row>
    <row r="57" spans="1:10" ht="15.75" customHeight="1" x14ac:dyDescent="0.25">
      <c r="A57" s="17"/>
      <c r="B57" s="17"/>
      <c r="C57" s="17"/>
      <c r="D57" s="17"/>
      <c r="E57" s="17"/>
      <c r="F57" s="92"/>
      <c r="G57" s="17"/>
      <c r="H57" s="17"/>
      <c r="I57" s="17"/>
      <c r="J57" s="17"/>
    </row>
    <row r="58" spans="1:10" ht="15.75" customHeight="1" x14ac:dyDescent="0.25">
      <c r="A58" s="17"/>
      <c r="B58" s="17"/>
      <c r="C58" s="17"/>
      <c r="D58" s="17"/>
      <c r="E58" s="17"/>
      <c r="F58" s="92"/>
      <c r="G58" s="17"/>
      <c r="H58" s="17"/>
      <c r="I58" s="17"/>
      <c r="J58" s="17"/>
    </row>
    <row r="59" spans="1:10" ht="15.75" customHeight="1" x14ac:dyDescent="0.25">
      <c r="A59" s="17"/>
      <c r="B59" s="17"/>
      <c r="C59" s="17"/>
      <c r="D59" s="17"/>
      <c r="E59" s="17"/>
      <c r="F59" s="92"/>
      <c r="G59" s="17"/>
      <c r="H59" s="17"/>
      <c r="I59" s="17"/>
      <c r="J59" s="17"/>
    </row>
    <row r="60" spans="1:10" ht="15.75" customHeight="1" x14ac:dyDescent="0.25">
      <c r="A60" s="17"/>
      <c r="B60" s="17"/>
      <c r="C60" s="17"/>
      <c r="D60" s="17"/>
      <c r="E60" s="17"/>
      <c r="F60" s="92"/>
      <c r="G60" s="17"/>
      <c r="H60" s="17"/>
      <c r="I60" s="17"/>
      <c r="J60" s="17"/>
    </row>
    <row r="61" spans="1:10" ht="15.75" customHeight="1" x14ac:dyDescent="0.25">
      <c r="A61" s="17"/>
      <c r="B61" s="17"/>
      <c r="C61" s="17"/>
      <c r="D61" s="17"/>
      <c r="E61" s="17"/>
      <c r="F61" s="92"/>
      <c r="G61" s="17"/>
      <c r="H61" s="17"/>
      <c r="I61" s="17"/>
      <c r="J61" s="17"/>
    </row>
    <row r="62" spans="1:10" ht="15.75" customHeight="1" x14ac:dyDescent="0.25">
      <c r="A62" s="17"/>
      <c r="B62" s="17"/>
      <c r="C62" s="17"/>
      <c r="D62" s="17"/>
      <c r="E62" s="17"/>
      <c r="F62" s="92"/>
      <c r="G62" s="17"/>
      <c r="H62" s="17"/>
      <c r="I62" s="17"/>
      <c r="J62" s="17"/>
    </row>
    <row r="63" spans="1:10" ht="15.75" customHeight="1" x14ac:dyDescent="0.25">
      <c r="A63" s="17"/>
      <c r="B63" s="17"/>
      <c r="C63" s="17"/>
      <c r="D63" s="17"/>
      <c r="E63" s="17"/>
      <c r="F63" s="92"/>
      <c r="G63" s="17"/>
      <c r="H63" s="17"/>
      <c r="I63" s="17"/>
      <c r="J63" s="17"/>
    </row>
    <row r="64" spans="1:10" ht="15.75" customHeight="1" x14ac:dyDescent="0.25">
      <c r="A64" s="17"/>
      <c r="B64" s="17"/>
      <c r="C64" s="17"/>
      <c r="D64" s="17"/>
      <c r="E64" s="17"/>
      <c r="F64" s="92"/>
      <c r="G64" s="17"/>
      <c r="H64" s="17"/>
      <c r="I64" s="17"/>
      <c r="J64" s="17"/>
    </row>
    <row r="65" spans="1:10" ht="15.75" customHeight="1" x14ac:dyDescent="0.25">
      <c r="A65" s="17"/>
      <c r="B65" s="17"/>
      <c r="C65" s="17"/>
      <c r="D65" s="17"/>
      <c r="E65" s="17"/>
      <c r="F65" s="92"/>
      <c r="G65" s="17"/>
      <c r="H65" s="17"/>
      <c r="I65" s="17"/>
      <c r="J65" s="17"/>
    </row>
    <row r="66" spans="1:10" ht="15.75" customHeight="1" x14ac:dyDescent="0.25">
      <c r="A66" s="17"/>
      <c r="B66" s="17"/>
      <c r="C66" s="17"/>
      <c r="D66" s="17"/>
      <c r="E66" s="17"/>
      <c r="F66" s="92"/>
      <c r="G66" s="17"/>
      <c r="H66" s="17"/>
      <c r="I66" s="17"/>
      <c r="J66" s="17"/>
    </row>
    <row r="67" spans="1:10" ht="15.75" customHeight="1" x14ac:dyDescent="0.25">
      <c r="A67" s="17"/>
      <c r="B67" s="17"/>
      <c r="C67" s="17"/>
      <c r="D67" s="17"/>
      <c r="E67" s="17"/>
      <c r="F67" s="92"/>
      <c r="G67" s="17"/>
      <c r="H67" s="17"/>
      <c r="I67" s="17"/>
      <c r="J67" s="17"/>
    </row>
    <row r="68" spans="1:10" ht="15.75" customHeight="1" x14ac:dyDescent="0.25">
      <c r="A68" s="17"/>
      <c r="B68" s="17"/>
      <c r="C68" s="17"/>
      <c r="D68" s="17"/>
      <c r="E68" s="17"/>
      <c r="F68" s="92"/>
      <c r="G68" s="17"/>
      <c r="H68" s="17"/>
      <c r="I68" s="17"/>
      <c r="J68" s="17"/>
    </row>
    <row r="69" spans="1:10" ht="15.75" customHeight="1" x14ac:dyDescent="0.25">
      <c r="A69" s="17"/>
      <c r="B69" s="17"/>
      <c r="C69" s="17"/>
      <c r="D69" s="17"/>
      <c r="E69" s="17"/>
      <c r="F69" s="92"/>
      <c r="G69" s="17"/>
      <c r="H69" s="17"/>
      <c r="I69" s="17"/>
      <c r="J69" s="17"/>
    </row>
    <row r="70" spans="1:10" ht="15.75" customHeight="1" x14ac:dyDescent="0.25">
      <c r="A70" s="17"/>
      <c r="B70" s="17"/>
      <c r="C70" s="17"/>
      <c r="D70" s="17"/>
      <c r="E70" s="17"/>
      <c r="F70" s="92"/>
      <c r="G70" s="17"/>
      <c r="H70" s="17"/>
      <c r="I70" s="17"/>
      <c r="J70" s="17"/>
    </row>
    <row r="71" spans="1:10" ht="15.75" customHeight="1" x14ac:dyDescent="0.25">
      <c r="A71" s="17"/>
      <c r="B71" s="17"/>
      <c r="C71" s="17"/>
      <c r="D71" s="17"/>
      <c r="E71" s="17"/>
      <c r="F71" s="92"/>
      <c r="G71" s="17"/>
      <c r="H71" s="17"/>
      <c r="I71" s="17"/>
      <c r="J71" s="17"/>
    </row>
    <row r="72" spans="1:10" ht="15.75" customHeight="1" x14ac:dyDescent="0.25">
      <c r="A72" s="17"/>
      <c r="B72" s="17"/>
      <c r="C72" s="17"/>
      <c r="D72" s="17"/>
      <c r="E72" s="17"/>
      <c r="F72" s="92"/>
      <c r="G72" s="17"/>
      <c r="H72" s="17"/>
      <c r="I72" s="17"/>
      <c r="J72" s="17"/>
    </row>
    <row r="73" spans="1:10" ht="15.75" customHeight="1" x14ac:dyDescent="0.25">
      <c r="A73" s="17"/>
      <c r="B73" s="17"/>
      <c r="C73" s="17"/>
      <c r="D73" s="17"/>
      <c r="E73" s="17"/>
      <c r="F73" s="92"/>
      <c r="G73" s="17"/>
      <c r="H73" s="17"/>
      <c r="I73" s="17"/>
      <c r="J73" s="17"/>
    </row>
    <row r="74" spans="1:10" ht="15.75" customHeight="1" x14ac:dyDescent="0.25">
      <c r="A74" s="17"/>
      <c r="B74" s="17"/>
      <c r="C74" s="17"/>
      <c r="D74" s="17"/>
      <c r="E74" s="17"/>
      <c r="F74" s="92"/>
      <c r="G74" s="17"/>
      <c r="H74" s="17"/>
      <c r="I74" s="17"/>
      <c r="J74" s="17"/>
    </row>
    <row r="75" spans="1:10" ht="15.75" customHeight="1" x14ac:dyDescent="0.25">
      <c r="A75" s="17"/>
      <c r="B75" s="17"/>
      <c r="C75" s="17"/>
      <c r="D75" s="17"/>
      <c r="E75" s="17"/>
      <c r="F75" s="92"/>
      <c r="G75" s="17"/>
      <c r="H75" s="17"/>
      <c r="I75" s="17"/>
      <c r="J75" s="17"/>
    </row>
    <row r="76" spans="1:10" ht="15.75" customHeight="1" x14ac:dyDescent="0.25">
      <c r="A76" s="17"/>
      <c r="B76" s="17"/>
      <c r="C76" s="17"/>
      <c r="D76" s="17"/>
      <c r="E76" s="17"/>
      <c r="F76" s="92"/>
      <c r="G76" s="17"/>
      <c r="H76" s="17"/>
      <c r="I76" s="17"/>
      <c r="J76" s="17"/>
    </row>
    <row r="77" spans="1:10" ht="15.75" customHeight="1" x14ac:dyDescent="0.25">
      <c r="A77" s="17"/>
      <c r="B77" s="17"/>
      <c r="C77" s="17"/>
      <c r="D77" s="17"/>
      <c r="E77" s="17"/>
      <c r="F77" s="92"/>
      <c r="G77" s="17"/>
      <c r="H77" s="17"/>
      <c r="I77" s="17"/>
      <c r="J77" s="17"/>
    </row>
    <row r="78" spans="1:10" ht="15.75" customHeight="1" x14ac:dyDescent="0.25">
      <c r="A78" s="17"/>
      <c r="B78" s="17"/>
      <c r="C78" s="17"/>
      <c r="D78" s="17"/>
      <c r="E78" s="17"/>
      <c r="F78" s="92"/>
      <c r="G78" s="17"/>
      <c r="H78" s="17"/>
      <c r="I78" s="17"/>
      <c r="J78" s="17"/>
    </row>
    <row r="79" spans="1:10" ht="15.75" customHeight="1" x14ac:dyDescent="0.25">
      <c r="A79" s="17"/>
      <c r="B79" s="17"/>
      <c r="C79" s="17"/>
      <c r="D79" s="17"/>
      <c r="E79" s="17"/>
      <c r="F79" s="92"/>
      <c r="G79" s="17"/>
      <c r="H79" s="17"/>
      <c r="I79" s="17"/>
      <c r="J79" s="17"/>
    </row>
    <row r="80" spans="1:10" ht="15.75" customHeight="1" x14ac:dyDescent="0.25">
      <c r="A80" s="17"/>
      <c r="B80" s="17"/>
      <c r="C80" s="17"/>
      <c r="D80" s="17"/>
      <c r="E80" s="17"/>
      <c r="F80" s="92"/>
      <c r="G80" s="17"/>
      <c r="H80" s="17"/>
      <c r="I80" s="17"/>
      <c r="J80" s="17"/>
    </row>
    <row r="81" spans="1:10" ht="15.75" customHeight="1" x14ac:dyDescent="0.25">
      <c r="A81" s="17"/>
      <c r="B81" s="17"/>
      <c r="C81" s="17"/>
      <c r="D81" s="17"/>
      <c r="E81" s="17"/>
      <c r="F81" s="92"/>
      <c r="G81" s="17"/>
      <c r="H81" s="17"/>
      <c r="I81" s="17"/>
      <c r="J81" s="17"/>
    </row>
    <row r="82" spans="1:10" ht="15.75" customHeight="1" x14ac:dyDescent="0.25">
      <c r="A82" s="17"/>
      <c r="B82" s="17"/>
      <c r="C82" s="17"/>
      <c r="D82" s="17"/>
      <c r="E82" s="17"/>
      <c r="F82" s="92"/>
      <c r="G82" s="17"/>
      <c r="H82" s="17"/>
      <c r="I82" s="17"/>
      <c r="J82" s="17"/>
    </row>
    <row r="83" spans="1:10" ht="15.75" customHeight="1" x14ac:dyDescent="0.25">
      <c r="A83" s="17"/>
      <c r="B83" s="17"/>
      <c r="C83" s="17"/>
      <c r="D83" s="17"/>
      <c r="E83" s="17"/>
      <c r="F83" s="92"/>
      <c r="G83" s="17"/>
      <c r="H83" s="17"/>
      <c r="I83" s="17"/>
      <c r="J83" s="17"/>
    </row>
    <row r="84" spans="1:10" ht="15.75" customHeight="1" x14ac:dyDescent="0.25">
      <c r="A84" s="17"/>
      <c r="B84" s="17"/>
      <c r="C84" s="17"/>
      <c r="D84" s="17"/>
      <c r="E84" s="17"/>
      <c r="F84" s="92"/>
      <c r="G84" s="17"/>
      <c r="H84" s="17"/>
      <c r="I84" s="17"/>
      <c r="J84" s="17"/>
    </row>
    <row r="85" spans="1:10" ht="15.75" customHeight="1" x14ac:dyDescent="0.25">
      <c r="A85" s="17"/>
      <c r="B85" s="17"/>
      <c r="C85" s="17"/>
      <c r="D85" s="17"/>
      <c r="E85" s="17"/>
      <c r="F85" s="92"/>
      <c r="G85" s="17"/>
      <c r="H85" s="17"/>
      <c r="I85" s="17"/>
      <c r="J85" s="17"/>
    </row>
    <row r="86" spans="1:10" ht="15.75" customHeight="1" x14ac:dyDescent="0.25">
      <c r="A86" s="17"/>
      <c r="B86" s="17"/>
      <c r="C86" s="17"/>
      <c r="D86" s="17"/>
      <c r="E86" s="17"/>
      <c r="F86" s="92"/>
      <c r="G86" s="17"/>
      <c r="H86" s="17"/>
      <c r="I86" s="17"/>
      <c r="J86" s="17"/>
    </row>
    <row r="87" spans="1:10" ht="15.75" customHeight="1" x14ac:dyDescent="0.25">
      <c r="A87" s="17"/>
      <c r="B87" s="17"/>
      <c r="C87" s="17"/>
      <c r="D87" s="17"/>
      <c r="E87" s="17"/>
      <c r="F87" s="92"/>
      <c r="G87" s="17"/>
      <c r="H87" s="17"/>
      <c r="I87" s="17"/>
      <c r="J87" s="17"/>
    </row>
    <row r="88" spans="1:10" ht="15.75" customHeight="1" x14ac:dyDescent="0.25">
      <c r="A88" s="17"/>
      <c r="B88" s="17"/>
      <c r="C88" s="17"/>
      <c r="D88" s="17"/>
      <c r="E88" s="17"/>
      <c r="F88" s="92"/>
      <c r="G88" s="17"/>
      <c r="H88" s="17"/>
      <c r="I88" s="17"/>
      <c r="J88" s="17"/>
    </row>
    <row r="89" spans="1:10" ht="15.75" customHeight="1" x14ac:dyDescent="0.25">
      <c r="A89" s="17"/>
      <c r="B89" s="17"/>
      <c r="C89" s="17"/>
      <c r="D89" s="17"/>
      <c r="E89" s="17"/>
      <c r="F89" s="92"/>
      <c r="G89" s="17"/>
      <c r="H89" s="17"/>
      <c r="I89" s="17"/>
      <c r="J89" s="17"/>
    </row>
    <row r="90" spans="1:10" ht="15.75" customHeight="1" x14ac:dyDescent="0.25">
      <c r="A90" s="17"/>
      <c r="B90" s="17"/>
      <c r="C90" s="17"/>
      <c r="D90" s="17"/>
      <c r="E90" s="17"/>
      <c r="F90" s="92"/>
      <c r="G90" s="17"/>
      <c r="H90" s="17"/>
      <c r="I90" s="17"/>
      <c r="J90" s="17"/>
    </row>
    <row r="91" spans="1:10" ht="15.75" customHeight="1" x14ac:dyDescent="0.25">
      <c r="A91" s="17"/>
      <c r="B91" s="17"/>
      <c r="C91" s="17"/>
      <c r="D91" s="17"/>
      <c r="E91" s="17"/>
      <c r="F91" s="92"/>
      <c r="G91" s="17"/>
      <c r="H91" s="17"/>
      <c r="I91" s="17"/>
      <c r="J91" s="17"/>
    </row>
    <row r="92" spans="1:10" ht="15.75" customHeight="1" x14ac:dyDescent="0.25">
      <c r="A92" s="17"/>
      <c r="B92" s="17"/>
      <c r="C92" s="17"/>
      <c r="D92" s="17"/>
      <c r="E92" s="17"/>
      <c r="F92" s="92"/>
      <c r="G92" s="17"/>
      <c r="H92" s="17"/>
      <c r="I92" s="17"/>
      <c r="J92" s="17"/>
    </row>
    <row r="93" spans="1:10" ht="15.75" customHeight="1" x14ac:dyDescent="0.25">
      <c r="A93" s="17"/>
      <c r="B93" s="17"/>
      <c r="C93" s="17"/>
      <c r="D93" s="17"/>
      <c r="E93" s="17"/>
      <c r="F93" s="92"/>
      <c r="G93" s="17"/>
      <c r="H93" s="17"/>
      <c r="I93" s="17"/>
      <c r="J93" s="17"/>
    </row>
    <row r="94" spans="1:10" ht="15.75" customHeight="1" x14ac:dyDescent="0.25">
      <c r="A94" s="17"/>
      <c r="B94" s="17"/>
      <c r="C94" s="17"/>
      <c r="D94" s="17"/>
      <c r="E94" s="17"/>
      <c r="F94" s="92"/>
      <c r="G94" s="17"/>
      <c r="H94" s="17"/>
      <c r="I94" s="17"/>
      <c r="J94" s="17"/>
    </row>
    <row r="95" spans="1:10" ht="15.75" customHeight="1" x14ac:dyDescent="0.25">
      <c r="A95" s="17"/>
      <c r="B95" s="17"/>
      <c r="C95" s="17"/>
      <c r="D95" s="17"/>
      <c r="E95" s="17"/>
      <c r="F95" s="92"/>
      <c r="G95" s="17"/>
      <c r="H95" s="17"/>
      <c r="I95" s="17"/>
      <c r="J95" s="17"/>
    </row>
    <row r="96" spans="1:10" ht="15.75" customHeight="1" x14ac:dyDescent="0.25">
      <c r="A96" s="17"/>
      <c r="B96" s="17"/>
      <c r="C96" s="17"/>
      <c r="D96" s="17"/>
      <c r="E96" s="17"/>
      <c r="F96" s="92"/>
      <c r="G96" s="17"/>
      <c r="H96" s="17"/>
      <c r="I96" s="17"/>
      <c r="J96" s="17"/>
    </row>
    <row r="97" spans="1:10" ht="15.75" customHeight="1" x14ac:dyDescent="0.25">
      <c r="A97" s="17"/>
      <c r="B97" s="17"/>
      <c r="C97" s="17"/>
      <c r="D97" s="17"/>
      <c r="E97" s="17"/>
      <c r="F97" s="92"/>
      <c r="G97" s="17"/>
      <c r="H97" s="17"/>
      <c r="I97" s="17"/>
      <c r="J97" s="17"/>
    </row>
    <row r="98" spans="1:10" ht="15.75" customHeight="1" x14ac:dyDescent="0.25">
      <c r="A98" s="17"/>
      <c r="B98" s="17"/>
      <c r="C98" s="17"/>
      <c r="D98" s="17"/>
      <c r="E98" s="17"/>
      <c r="F98" s="92"/>
      <c r="G98" s="17"/>
      <c r="H98" s="17"/>
      <c r="I98" s="17"/>
      <c r="J98" s="17"/>
    </row>
    <row r="99" spans="1:10" ht="15.75" customHeight="1" x14ac:dyDescent="0.25">
      <c r="A99" s="17"/>
      <c r="B99" s="17"/>
      <c r="C99" s="17"/>
      <c r="D99" s="17"/>
      <c r="E99" s="17"/>
      <c r="F99" s="92"/>
      <c r="G99" s="17"/>
      <c r="H99" s="17"/>
      <c r="I99" s="17"/>
      <c r="J99" s="17"/>
    </row>
    <row r="100" spans="1:10" ht="15.75" customHeight="1" x14ac:dyDescent="0.25">
      <c r="A100" s="17"/>
      <c r="B100" s="17"/>
      <c r="C100" s="17"/>
      <c r="D100" s="17"/>
      <c r="E100" s="17"/>
      <c r="F100" s="92"/>
      <c r="G100" s="17"/>
      <c r="H100" s="17"/>
      <c r="I100" s="17"/>
      <c r="J100" s="17"/>
    </row>
    <row r="101" spans="1:10" ht="15.75" customHeight="1" x14ac:dyDescent="0.25">
      <c r="A101" s="17"/>
      <c r="B101" s="17"/>
      <c r="C101" s="17"/>
      <c r="D101" s="17"/>
      <c r="E101" s="17"/>
      <c r="F101" s="92"/>
      <c r="G101" s="17"/>
      <c r="H101" s="17"/>
      <c r="I101" s="17"/>
      <c r="J101" s="17"/>
    </row>
  </sheetData>
  <mergeCells count="19">
    <mergeCell ref="A1:J1"/>
    <mergeCell ref="A2:B2"/>
    <mergeCell ref="C2:D2"/>
    <mergeCell ref="E2:H2"/>
    <mergeCell ref="I2:J2"/>
    <mergeCell ref="A5:J5"/>
    <mergeCell ref="A37:D37"/>
    <mergeCell ref="A38:D38"/>
    <mergeCell ref="A39:D39"/>
    <mergeCell ref="C3:D3"/>
    <mergeCell ref="A22:D22"/>
    <mergeCell ref="A23:D23"/>
    <mergeCell ref="A24:D24"/>
    <mergeCell ref="A26:J26"/>
    <mergeCell ref="A34:D34"/>
    <mergeCell ref="A36:J36"/>
    <mergeCell ref="E3:H3"/>
    <mergeCell ref="I3:J3"/>
    <mergeCell ref="A3:B3"/>
  </mergeCells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B1F2B"/>
  </sheetPr>
  <dimension ref="A1:H100"/>
  <sheetViews>
    <sheetView workbookViewId="0">
      <pane ySplit="3" topLeftCell="A6" activePane="bottomLeft" state="frozen"/>
      <selection pane="bottomLeft" activeCell="E8" sqref="E8"/>
    </sheetView>
  </sheetViews>
  <sheetFormatPr defaultColWidth="14.42578125" defaultRowHeight="15" customHeight="1" x14ac:dyDescent="0.25"/>
  <cols>
    <col min="1" max="1" width="10" customWidth="1"/>
    <col min="2" max="2" width="26" customWidth="1"/>
    <col min="3" max="6" width="16" customWidth="1"/>
    <col min="7" max="7" width="19.28515625" customWidth="1"/>
    <col min="8" max="8" width="20" customWidth="1"/>
  </cols>
  <sheetData>
    <row r="1" spans="1:8" ht="27.75" customHeight="1" x14ac:dyDescent="0.25">
      <c r="A1" s="163" t="s">
        <v>119</v>
      </c>
      <c r="B1" s="146"/>
      <c r="C1" s="146"/>
      <c r="D1" s="146"/>
      <c r="E1" s="146"/>
      <c r="F1" s="146"/>
      <c r="G1" s="146"/>
      <c r="H1" s="147"/>
    </row>
    <row r="2" spans="1:8" ht="18" customHeight="1" x14ac:dyDescent="0.25">
      <c r="A2" s="164" t="s">
        <v>34</v>
      </c>
      <c r="B2" s="147"/>
      <c r="C2" s="164" t="s">
        <v>35</v>
      </c>
      <c r="D2" s="147"/>
      <c r="E2" s="164" t="s">
        <v>36</v>
      </c>
      <c r="F2" s="147"/>
      <c r="G2" s="164" t="s">
        <v>37</v>
      </c>
      <c r="H2" s="147"/>
    </row>
    <row r="3" spans="1:8" ht="21.75" customHeight="1" x14ac:dyDescent="0.25">
      <c r="A3" s="162">
        <f>E33</f>
        <v>5080</v>
      </c>
      <c r="B3" s="147"/>
      <c r="C3" s="154">
        <f>E23</f>
        <v>2007</v>
      </c>
      <c r="D3" s="147"/>
      <c r="E3" s="160">
        <f>E33-E23</f>
        <v>3073</v>
      </c>
      <c r="F3" s="147"/>
      <c r="G3" s="161">
        <f>IF(E33&gt;0,(E33-E23)/E33,0)</f>
        <v>0.60492125984251965</v>
      </c>
      <c r="H3" s="147"/>
    </row>
    <row r="4" spans="1:8" ht="14.25" customHeight="1" x14ac:dyDescent="0.25">
      <c r="A4" s="17"/>
      <c r="B4" s="17"/>
      <c r="C4" s="17"/>
      <c r="D4" s="17"/>
      <c r="E4" s="17"/>
      <c r="F4" s="17"/>
      <c r="G4" s="17"/>
      <c r="H4" s="17"/>
    </row>
    <row r="5" spans="1:8" ht="19.5" customHeight="1" x14ac:dyDescent="0.25">
      <c r="A5" s="150" t="s">
        <v>120</v>
      </c>
      <c r="B5" s="146"/>
      <c r="C5" s="146"/>
      <c r="D5" s="146"/>
      <c r="E5" s="146"/>
      <c r="F5" s="146"/>
      <c r="G5" s="146"/>
      <c r="H5" s="147"/>
    </row>
    <row r="6" spans="1:8" ht="15" customHeight="1" x14ac:dyDescent="0.25">
      <c r="A6" s="36" t="s">
        <v>22</v>
      </c>
      <c r="B6" s="36" t="s">
        <v>39</v>
      </c>
      <c r="C6" s="60" t="s">
        <v>40</v>
      </c>
      <c r="D6" s="36" t="s">
        <v>41</v>
      </c>
      <c r="E6" s="36" t="s">
        <v>42</v>
      </c>
      <c r="F6" s="36" t="s">
        <v>43</v>
      </c>
      <c r="G6" s="36" t="s">
        <v>44</v>
      </c>
      <c r="H6" s="36"/>
    </row>
    <row r="7" spans="1:8" ht="15" customHeight="1" x14ac:dyDescent="0.25">
      <c r="A7" s="37"/>
      <c r="B7" s="72" t="s">
        <v>81</v>
      </c>
      <c r="C7" s="73" t="s">
        <v>121</v>
      </c>
      <c r="D7" s="37" t="s">
        <v>83</v>
      </c>
      <c r="E7" s="39">
        <v>60</v>
      </c>
      <c r="F7" s="37"/>
      <c r="G7" s="37" t="s">
        <v>84</v>
      </c>
      <c r="H7" s="37"/>
    </row>
    <row r="8" spans="1:8" ht="15" customHeight="1" x14ac:dyDescent="0.25">
      <c r="A8" s="37"/>
      <c r="B8" s="31" t="s">
        <v>122</v>
      </c>
      <c r="C8" s="64"/>
      <c r="D8" s="31" t="s">
        <v>123</v>
      </c>
      <c r="E8" s="39">
        <v>458</v>
      </c>
      <c r="F8" s="37"/>
      <c r="G8" s="37"/>
      <c r="H8" s="37"/>
    </row>
    <row r="9" spans="1:8" ht="15" customHeight="1" x14ac:dyDescent="0.25">
      <c r="A9" s="40" t="s">
        <v>124</v>
      </c>
      <c r="B9" s="76" t="s">
        <v>49</v>
      </c>
      <c r="C9" s="63"/>
      <c r="D9" s="40" t="s">
        <v>90</v>
      </c>
      <c r="E9" s="42">
        <v>250</v>
      </c>
      <c r="F9" s="40"/>
      <c r="G9" s="40"/>
      <c r="H9" s="40"/>
    </row>
    <row r="10" spans="1:8" ht="15" customHeight="1" x14ac:dyDescent="0.25">
      <c r="A10" s="37" t="s">
        <v>124</v>
      </c>
      <c r="B10" s="72" t="s">
        <v>51</v>
      </c>
      <c r="C10" s="62"/>
      <c r="D10" s="40" t="s">
        <v>90</v>
      </c>
      <c r="E10" s="39">
        <v>178</v>
      </c>
      <c r="F10" s="37"/>
      <c r="G10" s="37"/>
      <c r="H10" s="37"/>
    </row>
    <row r="11" spans="1:8" ht="15" customHeight="1" x14ac:dyDescent="0.25">
      <c r="A11" s="40" t="s">
        <v>124</v>
      </c>
      <c r="B11" s="76" t="s">
        <v>93</v>
      </c>
      <c r="C11" s="63" t="s">
        <v>125</v>
      </c>
      <c r="D11" s="40" t="s">
        <v>83</v>
      </c>
      <c r="E11" s="42">
        <v>288</v>
      </c>
      <c r="F11" s="40"/>
      <c r="G11" s="40" t="s">
        <v>95</v>
      </c>
      <c r="H11" s="40"/>
    </row>
    <row r="12" spans="1:8" ht="15" customHeight="1" x14ac:dyDescent="0.25">
      <c r="A12" s="37" t="s">
        <v>124</v>
      </c>
      <c r="B12" s="72" t="s">
        <v>53</v>
      </c>
      <c r="C12" s="62"/>
      <c r="D12" s="37" t="s">
        <v>92</v>
      </c>
      <c r="E12" s="39">
        <v>140</v>
      </c>
      <c r="F12" s="37"/>
      <c r="G12" s="37" t="s">
        <v>102</v>
      </c>
      <c r="H12" s="37"/>
    </row>
    <row r="13" spans="1:8" ht="15" customHeight="1" x14ac:dyDescent="0.25">
      <c r="A13" s="40" t="s">
        <v>124</v>
      </c>
      <c r="B13" s="76" t="s">
        <v>54</v>
      </c>
      <c r="C13" s="63"/>
      <c r="D13" s="37" t="s">
        <v>92</v>
      </c>
      <c r="E13" s="42">
        <v>288</v>
      </c>
      <c r="F13" s="40"/>
      <c r="G13" s="40"/>
      <c r="H13" s="40"/>
    </row>
    <row r="14" spans="1:8" ht="15" customHeight="1" x14ac:dyDescent="0.25">
      <c r="A14" s="37" t="s">
        <v>124</v>
      </c>
      <c r="B14" s="72" t="s">
        <v>55</v>
      </c>
      <c r="C14" s="62"/>
      <c r="D14" s="37" t="s">
        <v>92</v>
      </c>
      <c r="E14" s="39">
        <v>145</v>
      </c>
      <c r="F14" s="37"/>
      <c r="G14" s="37"/>
      <c r="H14" s="37"/>
    </row>
    <row r="15" spans="1:8" ht="15" customHeight="1" x14ac:dyDescent="0.25">
      <c r="A15" s="31"/>
      <c r="B15" s="31" t="s">
        <v>91</v>
      </c>
      <c r="C15" s="64"/>
      <c r="D15" s="31" t="s">
        <v>92</v>
      </c>
      <c r="E15" s="39">
        <v>200</v>
      </c>
      <c r="F15" s="31"/>
      <c r="G15" s="31"/>
      <c r="H15" s="31"/>
    </row>
    <row r="16" spans="1:8" ht="15" customHeight="1" x14ac:dyDescent="0.25">
      <c r="A16" s="40"/>
      <c r="B16" s="18"/>
      <c r="C16" s="3"/>
      <c r="D16" s="18"/>
      <c r="E16" s="102"/>
      <c r="F16" s="31"/>
      <c r="G16" s="40"/>
      <c r="H16" s="31"/>
    </row>
    <row r="17" spans="1:8" ht="15" customHeight="1" x14ac:dyDescent="0.25">
      <c r="A17" s="31"/>
      <c r="B17" s="31"/>
      <c r="C17" s="64"/>
      <c r="D17" s="31"/>
      <c r="E17" s="39"/>
      <c r="F17" s="31"/>
      <c r="G17" s="31"/>
      <c r="H17" s="31"/>
    </row>
    <row r="18" spans="1:8" ht="15" customHeight="1" x14ac:dyDescent="0.25">
      <c r="A18" s="31"/>
      <c r="B18" s="31"/>
      <c r="C18" s="64"/>
      <c r="D18" s="31"/>
      <c r="E18" s="39"/>
      <c r="F18" s="31"/>
      <c r="G18" s="31"/>
      <c r="H18" s="31"/>
    </row>
    <row r="19" spans="1:8" ht="15" customHeight="1" x14ac:dyDescent="0.25">
      <c r="A19" s="31"/>
      <c r="B19" s="31"/>
      <c r="C19" s="64"/>
      <c r="D19" s="31"/>
      <c r="E19" s="39">
        <v>0</v>
      </c>
      <c r="F19" s="31"/>
      <c r="G19" s="31"/>
      <c r="H19" s="31"/>
    </row>
    <row r="20" spans="1:8" ht="15" customHeight="1" x14ac:dyDescent="0.25">
      <c r="A20" s="31"/>
      <c r="B20" s="31"/>
      <c r="C20" s="64"/>
      <c r="D20" s="31"/>
      <c r="E20" s="39">
        <v>0</v>
      </c>
      <c r="F20" s="31"/>
      <c r="G20" s="31"/>
      <c r="H20" s="31"/>
    </row>
    <row r="21" spans="1:8" ht="15.75" customHeight="1" x14ac:dyDescent="0.25">
      <c r="A21" s="155" t="s">
        <v>56</v>
      </c>
      <c r="B21" s="152"/>
      <c r="C21" s="152"/>
      <c r="D21" s="153"/>
      <c r="E21" s="43">
        <f>SUM(E7:E19)</f>
        <v>2007</v>
      </c>
      <c r="F21" s="44"/>
      <c r="G21" s="44"/>
      <c r="H21" s="44"/>
    </row>
    <row r="22" spans="1:8" ht="15" customHeight="1" x14ac:dyDescent="0.25">
      <c r="A22" s="156" t="s">
        <v>57</v>
      </c>
      <c r="B22" s="152"/>
      <c r="C22" s="152"/>
      <c r="D22" s="153"/>
      <c r="E22" s="45"/>
      <c r="F22" s="44"/>
      <c r="G22" s="44"/>
      <c r="H22" s="44"/>
    </row>
    <row r="23" spans="1:8" ht="15" customHeight="1" x14ac:dyDescent="0.25">
      <c r="A23" s="157" t="s">
        <v>58</v>
      </c>
      <c r="B23" s="152"/>
      <c r="C23" s="152"/>
      <c r="D23" s="153"/>
      <c r="E23" s="46">
        <f>E21+E22</f>
        <v>2007</v>
      </c>
      <c r="F23" s="47"/>
      <c r="G23" s="47"/>
      <c r="H23" s="47"/>
    </row>
    <row r="24" spans="1:8" ht="15.75" customHeight="1" x14ac:dyDescent="0.25">
      <c r="A24" s="17"/>
      <c r="B24" s="17"/>
      <c r="C24" s="17"/>
      <c r="D24" s="17"/>
      <c r="E24" s="17"/>
      <c r="F24" s="17"/>
      <c r="G24" s="17"/>
      <c r="H24" s="17"/>
    </row>
    <row r="25" spans="1:8" ht="19.5" customHeight="1" x14ac:dyDescent="0.25">
      <c r="A25" s="158" t="s">
        <v>127</v>
      </c>
      <c r="B25" s="146"/>
      <c r="C25" s="146"/>
      <c r="D25" s="146"/>
      <c r="E25" s="146"/>
      <c r="F25" s="146"/>
      <c r="G25" s="146"/>
      <c r="H25" s="147"/>
    </row>
    <row r="26" spans="1:8" ht="15" customHeight="1" x14ac:dyDescent="0.25">
      <c r="A26" s="48" t="s">
        <v>22</v>
      </c>
      <c r="B26" s="48" t="s">
        <v>39</v>
      </c>
      <c r="C26" s="48" t="s">
        <v>40</v>
      </c>
      <c r="D26" s="48" t="s">
        <v>41</v>
      </c>
      <c r="E26" s="48" t="s">
        <v>42</v>
      </c>
      <c r="F26" s="48" t="s">
        <v>60</v>
      </c>
      <c r="G26" s="48" t="s">
        <v>44</v>
      </c>
      <c r="H26" s="48"/>
    </row>
    <row r="27" spans="1:8" ht="15" customHeight="1" x14ac:dyDescent="0.25">
      <c r="A27" s="49" t="s">
        <v>124</v>
      </c>
      <c r="B27" s="50" t="s">
        <v>61</v>
      </c>
      <c r="C27" s="49" t="s">
        <v>62</v>
      </c>
      <c r="D27" s="49" t="s">
        <v>50</v>
      </c>
      <c r="E27" s="51">
        <v>2870</v>
      </c>
      <c r="F27" s="49"/>
      <c r="G27" s="49"/>
      <c r="H27" s="49"/>
    </row>
    <row r="28" spans="1:8" ht="15" customHeight="1" x14ac:dyDescent="0.25">
      <c r="A28" s="52" t="s">
        <v>124</v>
      </c>
      <c r="B28" s="53" t="s">
        <v>63</v>
      </c>
      <c r="C28" s="52" t="s">
        <v>62</v>
      </c>
      <c r="D28" s="52" t="s">
        <v>50</v>
      </c>
      <c r="E28" s="54">
        <v>2210</v>
      </c>
      <c r="F28" s="52"/>
      <c r="G28" s="52"/>
      <c r="H28" s="52"/>
    </row>
    <row r="29" spans="1:8" ht="15" customHeight="1" x14ac:dyDescent="0.25">
      <c r="A29" s="49"/>
      <c r="B29" s="50"/>
      <c r="C29" s="49"/>
      <c r="D29" s="49"/>
      <c r="E29" s="51"/>
      <c r="F29" s="49"/>
      <c r="G29" s="49"/>
      <c r="H29" s="49"/>
    </row>
    <row r="30" spans="1:8" ht="15" customHeight="1" x14ac:dyDescent="0.25">
      <c r="A30" s="52"/>
      <c r="B30" s="53"/>
      <c r="C30" s="52"/>
      <c r="D30" s="52"/>
      <c r="E30" s="54"/>
      <c r="F30" s="52"/>
      <c r="G30" s="52"/>
      <c r="H30" s="52"/>
    </row>
    <row r="31" spans="1:8" ht="15" customHeight="1" x14ac:dyDescent="0.25">
      <c r="A31" s="55"/>
      <c r="B31" s="55"/>
      <c r="C31" s="55"/>
      <c r="D31" s="55"/>
      <c r="E31" s="56"/>
      <c r="F31" s="55"/>
      <c r="G31" s="55"/>
      <c r="H31" s="55"/>
    </row>
    <row r="32" spans="1:8" ht="15" customHeight="1" x14ac:dyDescent="0.25">
      <c r="A32" s="55"/>
      <c r="B32" s="55"/>
      <c r="C32" s="55"/>
      <c r="D32" s="55"/>
      <c r="E32" s="56"/>
      <c r="F32" s="55"/>
      <c r="G32" s="55"/>
      <c r="H32" s="55"/>
    </row>
    <row r="33" spans="1:8" ht="15" customHeight="1" x14ac:dyDescent="0.25">
      <c r="A33" s="157" t="s">
        <v>66</v>
      </c>
      <c r="B33" s="152"/>
      <c r="C33" s="152"/>
      <c r="D33" s="153"/>
      <c r="E33" s="46">
        <f>SUM(E27:E32)</f>
        <v>5080</v>
      </c>
      <c r="F33" s="47"/>
      <c r="G33" s="47"/>
      <c r="H33" s="47"/>
    </row>
    <row r="34" spans="1:8" ht="15.75" customHeight="1" x14ac:dyDescent="0.25">
      <c r="A34" s="17"/>
      <c r="B34" s="17"/>
      <c r="C34" s="17"/>
      <c r="D34" s="17"/>
      <c r="E34" s="17"/>
      <c r="F34" s="17"/>
      <c r="G34" s="17"/>
      <c r="H34" s="17"/>
    </row>
    <row r="35" spans="1:8" ht="19.5" customHeight="1" x14ac:dyDescent="0.25">
      <c r="A35" s="159" t="s">
        <v>67</v>
      </c>
      <c r="B35" s="146"/>
      <c r="C35" s="146"/>
      <c r="D35" s="146"/>
      <c r="E35" s="146"/>
      <c r="F35" s="146"/>
      <c r="G35" s="146"/>
      <c r="H35" s="147"/>
    </row>
    <row r="36" spans="1:8" ht="15" customHeight="1" x14ac:dyDescent="0.25">
      <c r="A36" s="151" t="s">
        <v>68</v>
      </c>
      <c r="B36" s="152"/>
      <c r="C36" s="152"/>
      <c r="D36" s="153"/>
      <c r="E36" s="57">
        <f>E33-E23</f>
        <v>3073</v>
      </c>
      <c r="F36" s="58"/>
      <c r="G36" s="58"/>
      <c r="H36" s="58"/>
    </row>
    <row r="37" spans="1:8" ht="15" customHeight="1" x14ac:dyDescent="0.25">
      <c r="A37" s="151" t="s">
        <v>76</v>
      </c>
      <c r="B37" s="152"/>
      <c r="C37" s="152"/>
      <c r="D37" s="153"/>
      <c r="E37" s="57">
        <f>0.7*(E33-E23)</f>
        <v>2151.1</v>
      </c>
      <c r="F37" s="58"/>
      <c r="G37" s="58"/>
      <c r="H37" s="58"/>
    </row>
    <row r="38" spans="1:8" ht="15" customHeight="1" x14ac:dyDescent="0.25">
      <c r="A38" s="151" t="s">
        <v>70</v>
      </c>
      <c r="B38" s="152"/>
      <c r="C38" s="152"/>
      <c r="D38" s="153"/>
      <c r="E38" s="57">
        <f>E23/6</f>
        <v>334.5</v>
      </c>
      <c r="F38" s="58"/>
      <c r="G38" s="58"/>
      <c r="H38" s="58"/>
    </row>
    <row r="39" spans="1:8" ht="15.75" customHeight="1" x14ac:dyDescent="0.25">
      <c r="A39" s="17"/>
      <c r="B39" s="17"/>
      <c r="C39" s="17"/>
      <c r="D39" s="17"/>
      <c r="E39" s="17"/>
      <c r="F39" s="17"/>
      <c r="G39" s="17"/>
      <c r="H39" s="17"/>
    </row>
    <row r="40" spans="1:8" ht="15.75" customHeight="1" x14ac:dyDescent="0.25">
      <c r="A40" s="17"/>
      <c r="B40" s="17"/>
      <c r="C40" s="17"/>
      <c r="D40" s="17"/>
      <c r="E40" s="17"/>
      <c r="F40" s="17"/>
      <c r="G40" s="17"/>
      <c r="H40" s="17"/>
    </row>
    <row r="41" spans="1:8" ht="15.75" customHeight="1" x14ac:dyDescent="0.25">
      <c r="A41" s="17"/>
      <c r="B41" s="17"/>
      <c r="C41" s="17"/>
      <c r="D41" s="17"/>
      <c r="E41" s="17"/>
      <c r="F41" s="17"/>
      <c r="G41" s="17"/>
      <c r="H41" s="17"/>
    </row>
    <row r="42" spans="1:8" ht="15.75" customHeight="1" x14ac:dyDescent="0.25">
      <c r="A42" s="17"/>
      <c r="B42" s="17"/>
      <c r="C42" s="17"/>
      <c r="D42" s="17"/>
      <c r="E42" s="17"/>
      <c r="F42" s="17"/>
      <c r="G42" s="17"/>
      <c r="H42" s="17"/>
    </row>
    <row r="43" spans="1:8" ht="15.75" customHeight="1" x14ac:dyDescent="0.25">
      <c r="A43" s="17"/>
      <c r="B43" s="17"/>
      <c r="C43" s="17"/>
      <c r="D43" s="17"/>
      <c r="E43" s="17"/>
      <c r="F43" s="17"/>
      <c r="G43" s="17"/>
      <c r="H43" s="17"/>
    </row>
    <row r="44" spans="1:8" ht="15.75" customHeight="1" x14ac:dyDescent="0.25">
      <c r="A44" s="17"/>
      <c r="B44" s="17"/>
      <c r="C44" s="17"/>
      <c r="D44" s="17"/>
      <c r="E44" s="17"/>
      <c r="F44" s="17"/>
      <c r="G44" s="17"/>
      <c r="H44" s="17"/>
    </row>
    <row r="45" spans="1:8" ht="15.75" customHeight="1" x14ac:dyDescent="0.25">
      <c r="A45" s="17"/>
      <c r="B45" s="17"/>
      <c r="C45" s="17"/>
      <c r="D45" s="17"/>
      <c r="E45" s="17"/>
      <c r="F45" s="17"/>
      <c r="G45" s="17"/>
      <c r="H45" s="17"/>
    </row>
    <row r="46" spans="1:8" ht="15.75" customHeight="1" x14ac:dyDescent="0.25">
      <c r="A46" s="17"/>
      <c r="B46" s="17"/>
      <c r="C46" s="17"/>
      <c r="D46" s="17"/>
      <c r="E46" s="17"/>
      <c r="F46" s="17"/>
      <c r="G46" s="17"/>
      <c r="H46" s="17"/>
    </row>
    <row r="47" spans="1:8" ht="15.75" customHeight="1" x14ac:dyDescent="0.25">
      <c r="A47" s="17"/>
      <c r="B47" s="17"/>
      <c r="C47" s="17"/>
      <c r="D47" s="17"/>
      <c r="E47" s="17"/>
      <c r="F47" s="17"/>
      <c r="G47" s="17"/>
      <c r="H47" s="17"/>
    </row>
    <row r="48" spans="1:8" ht="15.75" customHeight="1" x14ac:dyDescent="0.25">
      <c r="A48" s="17"/>
      <c r="B48" s="17"/>
      <c r="C48" s="17"/>
      <c r="D48" s="17"/>
      <c r="E48" s="17"/>
      <c r="F48" s="17"/>
      <c r="G48" s="17"/>
      <c r="H48" s="17"/>
    </row>
    <row r="49" spans="1:8" ht="15.75" customHeight="1" x14ac:dyDescent="0.25">
      <c r="A49" s="17"/>
      <c r="B49" s="17"/>
      <c r="C49" s="17"/>
      <c r="D49" s="17"/>
      <c r="E49" s="17"/>
      <c r="F49" s="17"/>
      <c r="G49" s="17"/>
      <c r="H49" s="17"/>
    </row>
    <row r="50" spans="1:8" ht="15.75" customHeight="1" x14ac:dyDescent="0.25">
      <c r="A50" s="17"/>
      <c r="B50" s="17"/>
      <c r="C50" s="17"/>
      <c r="D50" s="17"/>
      <c r="E50" s="17"/>
      <c r="F50" s="17"/>
      <c r="G50" s="17"/>
      <c r="H50" s="17"/>
    </row>
    <row r="51" spans="1:8" ht="15.75" customHeight="1" x14ac:dyDescent="0.25">
      <c r="A51" s="17"/>
      <c r="B51" s="17"/>
      <c r="C51" s="17"/>
      <c r="D51" s="17"/>
      <c r="E51" s="17"/>
      <c r="F51" s="17"/>
      <c r="G51" s="17"/>
      <c r="H51" s="17"/>
    </row>
    <row r="52" spans="1:8" ht="15.75" customHeight="1" x14ac:dyDescent="0.25">
      <c r="A52" s="17"/>
      <c r="B52" s="17"/>
      <c r="C52" s="17"/>
      <c r="D52" s="17"/>
      <c r="E52" s="17"/>
      <c r="F52" s="17"/>
      <c r="G52" s="17"/>
      <c r="H52" s="17"/>
    </row>
    <row r="53" spans="1:8" ht="15.75" customHeight="1" x14ac:dyDescent="0.25">
      <c r="A53" s="17"/>
      <c r="B53" s="17"/>
      <c r="C53" s="17"/>
      <c r="D53" s="17"/>
      <c r="E53" s="17"/>
      <c r="F53" s="17"/>
      <c r="G53" s="17"/>
      <c r="H53" s="17"/>
    </row>
    <row r="54" spans="1:8" ht="15.75" customHeight="1" x14ac:dyDescent="0.25">
      <c r="A54" s="17"/>
      <c r="B54" s="17"/>
      <c r="C54" s="17"/>
      <c r="D54" s="17"/>
      <c r="E54" s="17"/>
      <c r="F54" s="17"/>
      <c r="G54" s="17"/>
      <c r="H54" s="17"/>
    </row>
    <row r="55" spans="1:8" ht="15.75" customHeight="1" x14ac:dyDescent="0.25">
      <c r="A55" s="17"/>
      <c r="B55" s="17"/>
      <c r="C55" s="17"/>
      <c r="D55" s="17"/>
      <c r="E55" s="17"/>
      <c r="F55" s="17"/>
      <c r="G55" s="17"/>
      <c r="H55" s="17"/>
    </row>
    <row r="56" spans="1:8" ht="15.75" customHeight="1" x14ac:dyDescent="0.25">
      <c r="A56" s="17"/>
      <c r="B56" s="17"/>
      <c r="C56" s="17"/>
      <c r="D56" s="17"/>
      <c r="E56" s="17"/>
      <c r="F56" s="17"/>
      <c r="G56" s="17"/>
      <c r="H56" s="17"/>
    </row>
    <row r="57" spans="1:8" ht="15.75" customHeight="1" x14ac:dyDescent="0.25">
      <c r="A57" s="17"/>
      <c r="B57" s="17"/>
      <c r="C57" s="17"/>
      <c r="D57" s="17"/>
      <c r="E57" s="17"/>
      <c r="F57" s="17"/>
      <c r="G57" s="17"/>
      <c r="H57" s="17"/>
    </row>
    <row r="58" spans="1:8" ht="15.75" customHeight="1" x14ac:dyDescent="0.25">
      <c r="A58" s="17"/>
      <c r="B58" s="17"/>
      <c r="C58" s="17"/>
      <c r="D58" s="17"/>
      <c r="E58" s="17"/>
      <c r="F58" s="17"/>
      <c r="G58" s="17"/>
      <c r="H58" s="17"/>
    </row>
    <row r="59" spans="1:8" ht="15.75" customHeight="1" x14ac:dyDescent="0.25">
      <c r="A59" s="17"/>
      <c r="B59" s="17"/>
      <c r="C59" s="17"/>
      <c r="D59" s="17"/>
      <c r="E59" s="17"/>
      <c r="F59" s="17"/>
      <c r="G59" s="17"/>
      <c r="H59" s="17"/>
    </row>
    <row r="60" spans="1:8" ht="15.75" customHeight="1" x14ac:dyDescent="0.25">
      <c r="A60" s="17"/>
      <c r="B60" s="17"/>
      <c r="C60" s="17"/>
      <c r="D60" s="17"/>
      <c r="E60" s="17"/>
      <c r="F60" s="17"/>
      <c r="G60" s="17"/>
      <c r="H60" s="17"/>
    </row>
    <row r="61" spans="1:8" ht="15.75" customHeight="1" x14ac:dyDescent="0.25">
      <c r="A61" s="17"/>
      <c r="B61" s="17"/>
      <c r="C61" s="17"/>
      <c r="D61" s="17"/>
      <c r="E61" s="17"/>
      <c r="F61" s="17"/>
      <c r="G61" s="17"/>
      <c r="H61" s="17"/>
    </row>
    <row r="62" spans="1:8" ht="15.75" customHeight="1" x14ac:dyDescent="0.25">
      <c r="A62" s="17"/>
      <c r="B62" s="17"/>
      <c r="C62" s="17"/>
      <c r="D62" s="17"/>
      <c r="E62" s="17"/>
      <c r="F62" s="17"/>
      <c r="G62" s="17"/>
      <c r="H62" s="17"/>
    </row>
    <row r="63" spans="1:8" ht="15.75" customHeight="1" x14ac:dyDescent="0.25">
      <c r="A63" s="17"/>
      <c r="B63" s="17"/>
      <c r="C63" s="17"/>
      <c r="D63" s="17"/>
      <c r="E63" s="17"/>
      <c r="F63" s="17"/>
      <c r="G63" s="17"/>
      <c r="H63" s="17"/>
    </row>
    <row r="64" spans="1:8" ht="15.75" customHeight="1" x14ac:dyDescent="0.25">
      <c r="A64" s="17"/>
      <c r="B64" s="17"/>
      <c r="C64" s="17"/>
      <c r="D64" s="17"/>
      <c r="E64" s="17"/>
      <c r="F64" s="17"/>
      <c r="G64" s="17"/>
      <c r="H64" s="17"/>
    </row>
    <row r="65" spans="1:8" ht="15.75" customHeight="1" x14ac:dyDescent="0.25">
      <c r="A65" s="17"/>
      <c r="B65" s="17"/>
      <c r="C65" s="17"/>
      <c r="D65" s="17"/>
      <c r="E65" s="17"/>
      <c r="F65" s="17"/>
      <c r="G65" s="17"/>
      <c r="H65" s="17"/>
    </row>
    <row r="66" spans="1:8" ht="15.75" customHeight="1" x14ac:dyDescent="0.25">
      <c r="A66" s="17"/>
      <c r="B66" s="17"/>
      <c r="C66" s="17"/>
      <c r="D66" s="17"/>
      <c r="E66" s="17"/>
      <c r="F66" s="17"/>
      <c r="G66" s="17"/>
      <c r="H66" s="17"/>
    </row>
    <row r="67" spans="1:8" ht="15.75" customHeight="1" x14ac:dyDescent="0.25">
      <c r="A67" s="17"/>
      <c r="B67" s="17"/>
      <c r="C67" s="17"/>
      <c r="D67" s="17"/>
      <c r="E67" s="17"/>
      <c r="F67" s="17"/>
      <c r="G67" s="17"/>
      <c r="H67" s="17"/>
    </row>
    <row r="68" spans="1:8" ht="15.75" customHeight="1" x14ac:dyDescent="0.25">
      <c r="A68" s="17"/>
      <c r="B68" s="17"/>
      <c r="C68" s="17"/>
      <c r="D68" s="17"/>
      <c r="E68" s="17"/>
      <c r="F68" s="17"/>
      <c r="G68" s="17"/>
      <c r="H68" s="17"/>
    </row>
    <row r="69" spans="1:8" ht="15.75" customHeight="1" x14ac:dyDescent="0.25">
      <c r="A69" s="17"/>
      <c r="B69" s="17"/>
      <c r="C69" s="17"/>
      <c r="D69" s="17"/>
      <c r="E69" s="17"/>
      <c r="F69" s="17"/>
      <c r="G69" s="17"/>
      <c r="H69" s="17"/>
    </row>
    <row r="70" spans="1:8" ht="15.75" customHeight="1" x14ac:dyDescent="0.25">
      <c r="A70" s="17"/>
      <c r="B70" s="17"/>
      <c r="C70" s="17"/>
      <c r="D70" s="17"/>
      <c r="E70" s="17"/>
      <c r="F70" s="17"/>
      <c r="G70" s="17"/>
      <c r="H70" s="17"/>
    </row>
    <row r="71" spans="1:8" ht="15.75" customHeight="1" x14ac:dyDescent="0.25">
      <c r="A71" s="17"/>
      <c r="B71" s="17"/>
      <c r="C71" s="17"/>
      <c r="D71" s="17"/>
      <c r="E71" s="17"/>
      <c r="F71" s="17"/>
      <c r="G71" s="17"/>
      <c r="H71" s="17"/>
    </row>
    <row r="72" spans="1:8" ht="15.75" customHeight="1" x14ac:dyDescent="0.25">
      <c r="A72" s="17"/>
      <c r="B72" s="17"/>
      <c r="C72" s="17"/>
      <c r="D72" s="17"/>
      <c r="E72" s="17"/>
      <c r="F72" s="17"/>
      <c r="G72" s="17"/>
      <c r="H72" s="17"/>
    </row>
    <row r="73" spans="1:8" ht="15.75" customHeight="1" x14ac:dyDescent="0.25">
      <c r="A73" s="17"/>
      <c r="B73" s="17"/>
      <c r="C73" s="17"/>
      <c r="D73" s="17"/>
      <c r="E73" s="17"/>
      <c r="F73" s="17"/>
      <c r="G73" s="17"/>
      <c r="H73" s="17"/>
    </row>
    <row r="74" spans="1:8" ht="15.75" customHeight="1" x14ac:dyDescent="0.25">
      <c r="A74" s="17"/>
      <c r="B74" s="17"/>
      <c r="C74" s="17"/>
      <c r="D74" s="17"/>
      <c r="E74" s="17"/>
      <c r="F74" s="17"/>
      <c r="G74" s="17"/>
      <c r="H74" s="17"/>
    </row>
    <row r="75" spans="1:8" ht="15.75" customHeight="1" x14ac:dyDescent="0.25">
      <c r="A75" s="17"/>
      <c r="B75" s="17"/>
      <c r="C75" s="17"/>
      <c r="D75" s="17"/>
      <c r="E75" s="17"/>
      <c r="F75" s="17"/>
      <c r="G75" s="17"/>
      <c r="H75" s="17"/>
    </row>
    <row r="76" spans="1:8" ht="15.75" customHeight="1" x14ac:dyDescent="0.25">
      <c r="A76" s="17"/>
      <c r="B76" s="17"/>
      <c r="C76" s="17"/>
      <c r="D76" s="17"/>
      <c r="E76" s="17"/>
      <c r="F76" s="17"/>
      <c r="G76" s="17"/>
      <c r="H76" s="17"/>
    </row>
    <row r="77" spans="1:8" ht="15.75" customHeight="1" x14ac:dyDescent="0.25">
      <c r="A77" s="17"/>
      <c r="B77" s="17"/>
      <c r="C77" s="17"/>
      <c r="D77" s="17"/>
      <c r="E77" s="17"/>
      <c r="F77" s="17"/>
      <c r="G77" s="17"/>
      <c r="H77" s="17"/>
    </row>
    <row r="78" spans="1:8" ht="15.75" customHeight="1" x14ac:dyDescent="0.25">
      <c r="A78" s="17"/>
      <c r="B78" s="17"/>
      <c r="C78" s="17"/>
      <c r="D78" s="17"/>
      <c r="E78" s="17"/>
      <c r="F78" s="17"/>
      <c r="G78" s="17"/>
      <c r="H78" s="17"/>
    </row>
    <row r="79" spans="1:8" ht="15.75" customHeight="1" x14ac:dyDescent="0.25">
      <c r="A79" s="17"/>
      <c r="B79" s="17"/>
      <c r="C79" s="17"/>
      <c r="D79" s="17"/>
      <c r="E79" s="17"/>
      <c r="F79" s="17"/>
      <c r="G79" s="17"/>
      <c r="H79" s="17"/>
    </row>
    <row r="80" spans="1:8" ht="15.75" customHeight="1" x14ac:dyDescent="0.25">
      <c r="A80" s="17"/>
      <c r="B80" s="17"/>
      <c r="C80" s="17"/>
      <c r="D80" s="17"/>
      <c r="E80" s="17"/>
      <c r="F80" s="17"/>
      <c r="G80" s="17"/>
      <c r="H80" s="17"/>
    </row>
    <row r="81" spans="1:8" ht="15.75" customHeight="1" x14ac:dyDescent="0.25">
      <c r="A81" s="17"/>
      <c r="B81" s="17"/>
      <c r="C81" s="17"/>
      <c r="D81" s="17"/>
      <c r="E81" s="17"/>
      <c r="F81" s="17"/>
      <c r="G81" s="17"/>
      <c r="H81" s="17"/>
    </row>
    <row r="82" spans="1:8" ht="15.75" customHeight="1" x14ac:dyDescent="0.25">
      <c r="A82" s="17"/>
      <c r="B82" s="17"/>
      <c r="C82" s="17"/>
      <c r="D82" s="17"/>
      <c r="E82" s="17"/>
      <c r="F82" s="17"/>
      <c r="G82" s="17"/>
      <c r="H82" s="17"/>
    </row>
    <row r="83" spans="1:8" ht="15.75" customHeight="1" x14ac:dyDescent="0.25">
      <c r="A83" s="17"/>
      <c r="B83" s="17"/>
      <c r="C83" s="17"/>
      <c r="D83" s="17"/>
      <c r="E83" s="17"/>
      <c r="F83" s="17"/>
      <c r="G83" s="17"/>
      <c r="H83" s="17"/>
    </row>
    <row r="84" spans="1:8" ht="15.75" customHeight="1" x14ac:dyDescent="0.25">
      <c r="A84" s="17"/>
      <c r="B84" s="17"/>
      <c r="C84" s="17"/>
      <c r="D84" s="17"/>
      <c r="E84" s="17"/>
      <c r="F84" s="17"/>
      <c r="G84" s="17"/>
      <c r="H84" s="17"/>
    </row>
    <row r="85" spans="1:8" ht="15.75" customHeight="1" x14ac:dyDescent="0.25">
      <c r="A85" s="17"/>
      <c r="B85" s="17"/>
      <c r="C85" s="17"/>
      <c r="D85" s="17"/>
      <c r="E85" s="17"/>
      <c r="F85" s="17"/>
      <c r="G85" s="17"/>
      <c r="H85" s="17"/>
    </row>
    <row r="86" spans="1:8" ht="15.75" customHeight="1" x14ac:dyDescent="0.25">
      <c r="A86" s="17"/>
      <c r="B86" s="17"/>
      <c r="C86" s="17"/>
      <c r="D86" s="17"/>
      <c r="E86" s="17"/>
      <c r="F86" s="17"/>
      <c r="G86" s="17"/>
      <c r="H86" s="17"/>
    </row>
    <row r="87" spans="1:8" ht="15.75" customHeight="1" x14ac:dyDescent="0.25">
      <c r="A87" s="17"/>
      <c r="B87" s="17"/>
      <c r="C87" s="17"/>
      <c r="D87" s="17"/>
      <c r="E87" s="17"/>
      <c r="F87" s="17"/>
      <c r="G87" s="17"/>
      <c r="H87" s="17"/>
    </row>
    <row r="88" spans="1:8" ht="15.75" customHeight="1" x14ac:dyDescent="0.25">
      <c r="A88" s="17"/>
      <c r="B88" s="17"/>
      <c r="C88" s="17"/>
      <c r="D88" s="17"/>
      <c r="E88" s="17"/>
      <c r="F88" s="17"/>
      <c r="G88" s="17"/>
      <c r="H88" s="17"/>
    </row>
    <row r="89" spans="1:8" ht="15.75" customHeight="1" x14ac:dyDescent="0.25">
      <c r="A89" s="17"/>
      <c r="B89" s="17"/>
      <c r="C89" s="17"/>
      <c r="D89" s="17"/>
      <c r="E89" s="17"/>
      <c r="F89" s="17"/>
      <c r="G89" s="17"/>
      <c r="H89" s="17"/>
    </row>
    <row r="90" spans="1:8" ht="15.75" customHeight="1" x14ac:dyDescent="0.25">
      <c r="A90" s="17"/>
      <c r="B90" s="17"/>
      <c r="C90" s="17"/>
      <c r="D90" s="17"/>
      <c r="E90" s="17"/>
      <c r="F90" s="17"/>
      <c r="G90" s="17"/>
      <c r="H90" s="17"/>
    </row>
    <row r="91" spans="1:8" ht="15.75" customHeight="1" x14ac:dyDescent="0.25">
      <c r="A91" s="17"/>
      <c r="B91" s="17"/>
      <c r="C91" s="17"/>
      <c r="D91" s="17"/>
      <c r="E91" s="17"/>
      <c r="F91" s="17"/>
      <c r="G91" s="17"/>
      <c r="H91" s="17"/>
    </row>
    <row r="92" spans="1:8" ht="15.75" customHeight="1" x14ac:dyDescent="0.25">
      <c r="A92" s="17"/>
      <c r="B92" s="17"/>
      <c r="C92" s="17"/>
      <c r="D92" s="17"/>
      <c r="E92" s="17"/>
      <c r="F92" s="17"/>
      <c r="G92" s="17"/>
      <c r="H92" s="17"/>
    </row>
    <row r="93" spans="1:8" ht="15.75" customHeight="1" x14ac:dyDescent="0.25">
      <c r="A93" s="17"/>
      <c r="B93" s="17"/>
      <c r="C93" s="17"/>
      <c r="D93" s="17"/>
      <c r="E93" s="17"/>
      <c r="F93" s="17"/>
      <c r="G93" s="17"/>
      <c r="H93" s="17"/>
    </row>
    <row r="94" spans="1:8" ht="15.75" customHeight="1" x14ac:dyDescent="0.25">
      <c r="A94" s="17"/>
      <c r="B94" s="17"/>
      <c r="C94" s="17"/>
      <c r="D94" s="17"/>
      <c r="E94" s="17"/>
      <c r="F94" s="17"/>
      <c r="G94" s="17"/>
      <c r="H94" s="17"/>
    </row>
    <row r="95" spans="1:8" ht="15.75" customHeight="1" x14ac:dyDescent="0.25">
      <c r="A95" s="17"/>
      <c r="B95" s="17"/>
      <c r="C95" s="17"/>
      <c r="D95" s="17"/>
      <c r="E95" s="17"/>
      <c r="F95" s="17"/>
      <c r="G95" s="17"/>
      <c r="H95" s="17"/>
    </row>
    <row r="96" spans="1:8" ht="15.75" customHeight="1" x14ac:dyDescent="0.25">
      <c r="A96" s="17"/>
      <c r="B96" s="17"/>
      <c r="C96" s="17"/>
      <c r="D96" s="17"/>
      <c r="E96" s="17"/>
      <c r="F96" s="17"/>
      <c r="G96" s="17"/>
      <c r="H96" s="17"/>
    </row>
    <row r="97" spans="1:8" ht="15.75" customHeight="1" x14ac:dyDescent="0.25">
      <c r="A97" s="17"/>
      <c r="B97" s="17"/>
      <c r="C97" s="17"/>
      <c r="D97" s="17"/>
      <c r="E97" s="17"/>
      <c r="F97" s="17"/>
      <c r="G97" s="17"/>
      <c r="H97" s="17"/>
    </row>
    <row r="98" spans="1:8" ht="15.75" customHeight="1" x14ac:dyDescent="0.25">
      <c r="A98" s="17"/>
      <c r="B98" s="17"/>
      <c r="C98" s="17"/>
      <c r="D98" s="17"/>
      <c r="E98" s="17"/>
      <c r="F98" s="17"/>
      <c r="G98" s="17"/>
      <c r="H98" s="17"/>
    </row>
    <row r="99" spans="1:8" ht="15.75" customHeight="1" x14ac:dyDescent="0.25">
      <c r="A99" s="17"/>
      <c r="B99" s="17"/>
      <c r="C99" s="17"/>
      <c r="D99" s="17"/>
      <c r="E99" s="17"/>
      <c r="F99" s="17"/>
      <c r="G99" s="17"/>
      <c r="H99" s="17"/>
    </row>
    <row r="100" spans="1:8" ht="15.75" customHeight="1" x14ac:dyDescent="0.25">
      <c r="A100" s="17"/>
      <c r="B100" s="17"/>
      <c r="C100" s="17"/>
      <c r="D100" s="17"/>
      <c r="E100" s="17"/>
      <c r="F100" s="17"/>
      <c r="G100" s="17"/>
      <c r="H100" s="17"/>
    </row>
  </sheetData>
  <mergeCells count="19">
    <mergeCell ref="A1:H1"/>
    <mergeCell ref="A2:B2"/>
    <mergeCell ref="C2:D2"/>
    <mergeCell ref="E2:F2"/>
    <mergeCell ref="G2:H2"/>
    <mergeCell ref="A5:H5"/>
    <mergeCell ref="A36:D36"/>
    <mergeCell ref="A37:D37"/>
    <mergeCell ref="A38:D38"/>
    <mergeCell ref="C3:D3"/>
    <mergeCell ref="A21:D21"/>
    <mergeCell ref="A22:D22"/>
    <mergeCell ref="A23:D23"/>
    <mergeCell ref="A25:H25"/>
    <mergeCell ref="A33:D33"/>
    <mergeCell ref="A35:H35"/>
    <mergeCell ref="E3:F3"/>
    <mergeCell ref="G3:H3"/>
    <mergeCell ref="A3:B3"/>
  </mergeCells>
  <pageMargins left="0.75" right="0.75" top="1" bottom="1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4BBA4"/>
  </sheetPr>
  <dimension ref="A1:H100"/>
  <sheetViews>
    <sheetView workbookViewId="0">
      <pane ySplit="3" topLeftCell="A4" activePane="bottomLeft" state="frozen"/>
      <selection pane="bottomLeft" activeCell="A17" sqref="A17:G17"/>
    </sheetView>
  </sheetViews>
  <sheetFormatPr defaultColWidth="14.42578125" defaultRowHeight="15" customHeight="1" x14ac:dyDescent="0.25"/>
  <cols>
    <col min="1" max="1" width="10" customWidth="1"/>
    <col min="2" max="2" width="26" customWidth="1"/>
    <col min="3" max="6" width="16" customWidth="1"/>
    <col min="7" max="7" width="19.28515625" customWidth="1"/>
    <col min="8" max="8" width="20" customWidth="1"/>
  </cols>
  <sheetData>
    <row r="1" spans="1:8" ht="27.75" customHeight="1" x14ac:dyDescent="0.25">
      <c r="A1" s="163" t="s">
        <v>128</v>
      </c>
      <c r="B1" s="146"/>
      <c r="C1" s="146"/>
      <c r="D1" s="146"/>
      <c r="E1" s="146"/>
      <c r="F1" s="146"/>
      <c r="G1" s="146"/>
      <c r="H1" s="147"/>
    </row>
    <row r="2" spans="1:8" ht="18" customHeight="1" x14ac:dyDescent="0.25">
      <c r="A2" s="164" t="s">
        <v>34</v>
      </c>
      <c r="B2" s="147"/>
      <c r="C2" s="164" t="s">
        <v>35</v>
      </c>
      <c r="D2" s="147"/>
      <c r="E2" s="164" t="s">
        <v>36</v>
      </c>
      <c r="F2" s="147"/>
      <c r="G2" s="164" t="s">
        <v>37</v>
      </c>
      <c r="H2" s="147"/>
    </row>
    <row r="3" spans="1:8" ht="21.75" customHeight="1" x14ac:dyDescent="0.25">
      <c r="A3" s="162">
        <f>E33</f>
        <v>6904</v>
      </c>
      <c r="B3" s="147"/>
      <c r="C3" s="154">
        <f>E23</f>
        <v>1696</v>
      </c>
      <c r="D3" s="147"/>
      <c r="E3" s="160">
        <f>E33-E23</f>
        <v>5208</v>
      </c>
      <c r="F3" s="147"/>
      <c r="G3" s="161">
        <f>IF(E33&gt;0,(E33-E23)/E33,0)</f>
        <v>0.75434530706836611</v>
      </c>
      <c r="H3" s="147"/>
    </row>
    <row r="4" spans="1:8" ht="14.25" customHeight="1" x14ac:dyDescent="0.25">
      <c r="A4" s="17"/>
      <c r="B4" s="17"/>
      <c r="C4" s="17"/>
      <c r="D4" s="17"/>
      <c r="E4" s="17"/>
      <c r="F4" s="17"/>
      <c r="G4" s="17"/>
      <c r="H4" s="17"/>
    </row>
    <row r="5" spans="1:8" ht="19.5" customHeight="1" x14ac:dyDescent="0.25">
      <c r="A5" s="150" t="s">
        <v>129</v>
      </c>
      <c r="B5" s="146"/>
      <c r="C5" s="146"/>
      <c r="D5" s="146"/>
      <c r="E5" s="146"/>
      <c r="F5" s="146"/>
      <c r="G5" s="146"/>
      <c r="H5" s="147"/>
    </row>
    <row r="6" spans="1:8" ht="15" customHeight="1" x14ac:dyDescent="0.25">
      <c r="A6" s="36" t="s">
        <v>22</v>
      </c>
      <c r="B6" s="36" t="s">
        <v>39</v>
      </c>
      <c r="C6" s="60" t="s">
        <v>40</v>
      </c>
      <c r="D6" s="36" t="s">
        <v>41</v>
      </c>
      <c r="E6" s="36" t="s">
        <v>42</v>
      </c>
      <c r="F6" s="36" t="s">
        <v>43</v>
      </c>
      <c r="G6" s="36" t="s">
        <v>44</v>
      </c>
      <c r="H6" s="36"/>
    </row>
    <row r="7" spans="1:8" ht="15" customHeight="1" x14ac:dyDescent="0.25">
      <c r="A7" s="37"/>
      <c r="B7" s="72" t="s">
        <v>81</v>
      </c>
      <c r="C7" s="73" t="s">
        <v>130</v>
      </c>
      <c r="D7" s="37" t="s">
        <v>83</v>
      </c>
      <c r="E7" s="39">
        <v>60</v>
      </c>
      <c r="F7" s="37"/>
      <c r="G7" s="37" t="s">
        <v>84</v>
      </c>
      <c r="H7" s="37"/>
    </row>
    <row r="8" spans="1:8" ht="15" customHeight="1" x14ac:dyDescent="0.25">
      <c r="A8" s="37"/>
      <c r="B8" s="72" t="s">
        <v>131</v>
      </c>
      <c r="C8" s="62"/>
      <c r="D8" s="37"/>
      <c r="E8" s="39">
        <v>458</v>
      </c>
      <c r="F8" s="37"/>
      <c r="G8" s="37"/>
      <c r="H8" s="37"/>
    </row>
    <row r="9" spans="1:8" ht="15" customHeight="1" x14ac:dyDescent="0.25">
      <c r="A9" s="40" t="s">
        <v>132</v>
      </c>
      <c r="B9" s="76" t="s">
        <v>49</v>
      </c>
      <c r="C9" s="63"/>
      <c r="D9" s="40" t="s">
        <v>90</v>
      </c>
      <c r="E9" s="42">
        <v>250</v>
      </c>
      <c r="F9" s="40"/>
      <c r="G9" s="40"/>
      <c r="H9" s="40"/>
    </row>
    <row r="10" spans="1:8" ht="15" customHeight="1" x14ac:dyDescent="0.25">
      <c r="A10" s="37" t="s">
        <v>132</v>
      </c>
      <c r="B10" s="72" t="s">
        <v>51</v>
      </c>
      <c r="C10" s="62"/>
      <c r="D10" s="40" t="s">
        <v>90</v>
      </c>
      <c r="E10" s="39">
        <v>200</v>
      </c>
      <c r="F10" s="37"/>
      <c r="G10" s="37"/>
      <c r="H10" s="37"/>
    </row>
    <row r="11" spans="1:8" ht="15" customHeight="1" x14ac:dyDescent="0.25">
      <c r="A11" s="40"/>
      <c r="B11" s="76"/>
      <c r="C11" s="63"/>
      <c r="D11" s="40"/>
      <c r="E11" s="42"/>
      <c r="F11" s="40"/>
      <c r="G11" s="40"/>
      <c r="H11" s="40"/>
    </row>
    <row r="12" spans="1:8" ht="15" customHeight="1" x14ac:dyDescent="0.25">
      <c r="A12" s="37" t="s">
        <v>132</v>
      </c>
      <c r="B12" s="72" t="s">
        <v>53</v>
      </c>
      <c r="C12" s="62"/>
      <c r="D12" s="37" t="s">
        <v>92</v>
      </c>
      <c r="E12" s="39">
        <v>140</v>
      </c>
      <c r="F12" s="37"/>
      <c r="G12" s="37" t="s">
        <v>102</v>
      </c>
      <c r="H12" s="37"/>
    </row>
    <row r="13" spans="1:8" ht="15" customHeight="1" x14ac:dyDescent="0.25">
      <c r="A13" s="40" t="s">
        <v>132</v>
      </c>
      <c r="B13" s="76" t="s">
        <v>54</v>
      </c>
      <c r="C13" s="63"/>
      <c r="D13" s="37" t="s">
        <v>92</v>
      </c>
      <c r="E13" s="42">
        <v>288</v>
      </c>
      <c r="F13" s="40"/>
      <c r="G13" s="40"/>
      <c r="H13" s="40"/>
    </row>
    <row r="14" spans="1:8" ht="15" customHeight="1" x14ac:dyDescent="0.25">
      <c r="A14" s="37" t="s">
        <v>132</v>
      </c>
      <c r="B14" s="72" t="s">
        <v>55</v>
      </c>
      <c r="C14" s="62"/>
      <c r="D14" s="37" t="s">
        <v>92</v>
      </c>
      <c r="E14" s="39">
        <v>100</v>
      </c>
      <c r="F14" s="37"/>
      <c r="G14" s="37"/>
      <c r="H14" s="37"/>
    </row>
    <row r="15" spans="1:8" ht="15" customHeight="1" x14ac:dyDescent="0.25">
      <c r="A15" s="31"/>
      <c r="B15" s="31"/>
      <c r="C15" s="64"/>
      <c r="D15" s="31"/>
      <c r="E15" s="39"/>
      <c r="F15" s="31"/>
      <c r="G15" s="31"/>
      <c r="H15" s="31"/>
    </row>
    <row r="16" spans="1:8" ht="15" customHeight="1" x14ac:dyDescent="0.25">
      <c r="A16" s="31"/>
      <c r="B16" s="31" t="s">
        <v>91</v>
      </c>
      <c r="C16" s="64"/>
      <c r="D16" s="31" t="s">
        <v>92</v>
      </c>
      <c r="E16" s="39">
        <v>200</v>
      </c>
      <c r="F16" s="31"/>
      <c r="G16" s="31"/>
      <c r="H16" s="31"/>
    </row>
    <row r="17" spans="1:8" ht="15" customHeight="1" x14ac:dyDescent="0.25">
      <c r="A17" s="40"/>
      <c r="B17" s="40"/>
      <c r="C17" s="64"/>
      <c r="D17" s="40"/>
      <c r="E17" s="103"/>
      <c r="F17" s="31"/>
      <c r="G17" s="40"/>
      <c r="H17" s="31"/>
    </row>
    <row r="18" spans="1:8" ht="15" customHeight="1" x14ac:dyDescent="0.25">
      <c r="A18" s="31"/>
      <c r="B18" s="31"/>
      <c r="C18" s="64"/>
      <c r="D18" s="31"/>
      <c r="E18" s="39">
        <v>0</v>
      </c>
      <c r="F18" s="31"/>
      <c r="G18" s="31"/>
      <c r="H18" s="31"/>
    </row>
    <row r="19" spans="1:8" ht="15" customHeight="1" x14ac:dyDescent="0.25">
      <c r="A19" s="31"/>
      <c r="B19" s="31"/>
      <c r="C19" s="64"/>
      <c r="D19" s="31"/>
      <c r="E19" s="39">
        <v>0</v>
      </c>
      <c r="F19" s="31"/>
      <c r="G19" s="31"/>
      <c r="H19" s="31"/>
    </row>
    <row r="20" spans="1:8" ht="15" customHeight="1" x14ac:dyDescent="0.25">
      <c r="A20" s="31"/>
      <c r="B20" s="31"/>
      <c r="C20" s="64"/>
      <c r="D20" s="31"/>
      <c r="E20" s="39">
        <v>0</v>
      </c>
      <c r="F20" s="31"/>
      <c r="G20" s="31"/>
      <c r="H20" s="31"/>
    </row>
    <row r="21" spans="1:8" ht="15" customHeight="1" x14ac:dyDescent="0.25">
      <c r="A21" s="155" t="s">
        <v>56</v>
      </c>
      <c r="B21" s="152"/>
      <c r="C21" s="152"/>
      <c r="D21" s="153"/>
      <c r="E21" s="43">
        <f>SUM(E7:E18)</f>
        <v>1696</v>
      </c>
      <c r="F21" s="44"/>
      <c r="G21" s="44"/>
      <c r="H21" s="44"/>
    </row>
    <row r="22" spans="1:8" ht="15" customHeight="1" x14ac:dyDescent="0.25">
      <c r="A22" s="156" t="s">
        <v>57</v>
      </c>
      <c r="B22" s="152"/>
      <c r="C22" s="152"/>
      <c r="D22" s="153"/>
      <c r="E22" s="45"/>
      <c r="F22" s="44"/>
      <c r="G22" s="44"/>
      <c r="H22" s="44"/>
    </row>
    <row r="23" spans="1:8" ht="15" customHeight="1" x14ac:dyDescent="0.25">
      <c r="A23" s="157" t="s">
        <v>58</v>
      </c>
      <c r="B23" s="152"/>
      <c r="C23" s="152"/>
      <c r="D23" s="153"/>
      <c r="E23" s="46">
        <f>E21+E22</f>
        <v>1696</v>
      </c>
      <c r="F23" s="47"/>
      <c r="G23" s="47"/>
      <c r="H23" s="47"/>
    </row>
    <row r="24" spans="1:8" ht="15.75" customHeight="1" x14ac:dyDescent="0.25">
      <c r="A24" s="17"/>
      <c r="B24" s="17"/>
      <c r="C24" s="17"/>
      <c r="D24" s="17"/>
      <c r="E24" s="17"/>
      <c r="F24" s="17"/>
      <c r="G24" s="17"/>
      <c r="H24" s="17"/>
    </row>
    <row r="25" spans="1:8" ht="19.5" customHeight="1" x14ac:dyDescent="0.25">
      <c r="A25" s="158" t="s">
        <v>133</v>
      </c>
      <c r="B25" s="146"/>
      <c r="C25" s="146"/>
      <c r="D25" s="146"/>
      <c r="E25" s="146"/>
      <c r="F25" s="146"/>
      <c r="G25" s="146"/>
      <c r="H25" s="147"/>
    </row>
    <row r="26" spans="1:8" ht="15" customHeight="1" x14ac:dyDescent="0.25">
      <c r="A26" s="48" t="s">
        <v>22</v>
      </c>
      <c r="B26" s="48" t="s">
        <v>39</v>
      </c>
      <c r="C26" s="48" t="s">
        <v>40</v>
      </c>
      <c r="D26" s="48" t="s">
        <v>41</v>
      </c>
      <c r="E26" s="48" t="s">
        <v>42</v>
      </c>
      <c r="F26" s="48" t="s">
        <v>60</v>
      </c>
      <c r="G26" s="48" t="s">
        <v>44</v>
      </c>
      <c r="H26" s="48"/>
    </row>
    <row r="27" spans="1:8" ht="15" customHeight="1" x14ac:dyDescent="0.25">
      <c r="A27" s="104">
        <v>46327</v>
      </c>
      <c r="B27" s="50" t="s">
        <v>61</v>
      </c>
      <c r="C27" s="49" t="s">
        <v>62</v>
      </c>
      <c r="D27" s="49" t="s">
        <v>50</v>
      </c>
      <c r="E27" s="51">
        <v>2870</v>
      </c>
      <c r="F27" s="49"/>
      <c r="G27" s="49"/>
      <c r="H27" s="49"/>
    </row>
    <row r="28" spans="1:8" ht="15" customHeight="1" x14ac:dyDescent="0.25">
      <c r="A28" s="104">
        <v>46327</v>
      </c>
      <c r="B28" s="53" t="s">
        <v>63</v>
      </c>
      <c r="C28" s="52" t="s">
        <v>62</v>
      </c>
      <c r="D28" s="52" t="s">
        <v>50</v>
      </c>
      <c r="E28" s="54">
        <v>2200</v>
      </c>
      <c r="F28" s="52"/>
      <c r="G28" s="52"/>
      <c r="H28" s="52"/>
    </row>
    <row r="29" spans="1:8" ht="15" customHeight="1" x14ac:dyDescent="0.25">
      <c r="A29" s="104"/>
      <c r="B29" s="50"/>
      <c r="C29" s="49"/>
      <c r="D29" s="49"/>
      <c r="E29" s="51"/>
      <c r="F29" s="49"/>
      <c r="G29" s="49"/>
      <c r="H29" s="49"/>
    </row>
    <row r="30" spans="1:8" ht="15" customHeight="1" x14ac:dyDescent="0.25">
      <c r="A30" s="104">
        <v>46327</v>
      </c>
      <c r="B30" s="53" t="s">
        <v>134</v>
      </c>
      <c r="C30" s="52"/>
      <c r="D30" s="52"/>
      <c r="E30" s="54">
        <v>1400</v>
      </c>
      <c r="F30" s="52"/>
      <c r="G30" s="52"/>
      <c r="H30" s="52"/>
    </row>
    <row r="31" spans="1:8" ht="15" customHeight="1" x14ac:dyDescent="0.25">
      <c r="A31" s="105">
        <v>46327</v>
      </c>
      <c r="B31" s="53" t="s">
        <v>135</v>
      </c>
      <c r="C31" s="55"/>
      <c r="D31" s="55"/>
      <c r="E31" s="54">
        <v>434</v>
      </c>
      <c r="F31" s="55"/>
      <c r="G31" s="55"/>
      <c r="H31" s="55"/>
    </row>
    <row r="32" spans="1:8" ht="15" customHeight="1" x14ac:dyDescent="0.25">
      <c r="A32" s="55"/>
      <c r="B32" s="55"/>
      <c r="C32" s="55"/>
      <c r="D32" s="55"/>
      <c r="E32" s="54">
        <v>0</v>
      </c>
      <c r="F32" s="55"/>
      <c r="G32" s="55"/>
      <c r="H32" s="55"/>
    </row>
    <row r="33" spans="1:8" ht="15" customHeight="1" x14ac:dyDescent="0.25">
      <c r="A33" s="157" t="s">
        <v>66</v>
      </c>
      <c r="B33" s="152"/>
      <c r="C33" s="152"/>
      <c r="D33" s="153"/>
      <c r="E33" s="46">
        <f>SUM(E27:E32)</f>
        <v>6904</v>
      </c>
      <c r="F33" s="47"/>
      <c r="G33" s="47"/>
      <c r="H33" s="47"/>
    </row>
    <row r="34" spans="1:8" ht="15.75" customHeight="1" x14ac:dyDescent="0.25">
      <c r="A34" s="17"/>
      <c r="B34" s="17"/>
      <c r="C34" s="17"/>
      <c r="D34" s="17"/>
      <c r="E34" s="17"/>
      <c r="F34" s="17"/>
      <c r="G34" s="17"/>
      <c r="H34" s="17"/>
    </row>
    <row r="35" spans="1:8" ht="19.5" customHeight="1" x14ac:dyDescent="0.25">
      <c r="A35" s="159" t="s">
        <v>67</v>
      </c>
      <c r="B35" s="146"/>
      <c r="C35" s="146"/>
      <c r="D35" s="146"/>
      <c r="E35" s="146"/>
      <c r="F35" s="146"/>
      <c r="G35" s="146"/>
      <c r="H35" s="147"/>
    </row>
    <row r="36" spans="1:8" ht="15" customHeight="1" x14ac:dyDescent="0.25">
      <c r="A36" s="151" t="s">
        <v>68</v>
      </c>
      <c r="B36" s="152"/>
      <c r="C36" s="152"/>
      <c r="D36" s="153"/>
      <c r="E36" s="57">
        <f>E33-E23</f>
        <v>5208</v>
      </c>
      <c r="F36" s="58"/>
      <c r="G36" s="58"/>
      <c r="H36" s="58"/>
    </row>
    <row r="37" spans="1:8" ht="15" customHeight="1" x14ac:dyDescent="0.25">
      <c r="A37" s="151" t="s">
        <v>76</v>
      </c>
      <c r="B37" s="152"/>
      <c r="C37" s="152"/>
      <c r="D37" s="153"/>
      <c r="E37" s="57">
        <f>0.7*(E33-E23)</f>
        <v>3645.6</v>
      </c>
      <c r="F37" s="58"/>
      <c r="G37" s="58"/>
      <c r="H37" s="58"/>
    </row>
    <row r="38" spans="1:8" ht="15" customHeight="1" x14ac:dyDescent="0.25">
      <c r="A38" s="151" t="s">
        <v>70</v>
      </c>
      <c r="B38" s="152"/>
      <c r="C38" s="152"/>
      <c r="D38" s="153"/>
      <c r="E38" s="57">
        <f>E23/6</f>
        <v>282.66666666666669</v>
      </c>
      <c r="F38" s="58"/>
      <c r="G38" s="58"/>
      <c r="H38" s="58"/>
    </row>
    <row r="39" spans="1:8" ht="15.75" customHeight="1" x14ac:dyDescent="0.25">
      <c r="A39" s="17"/>
      <c r="B39" s="17"/>
      <c r="C39" s="17"/>
      <c r="D39" s="17"/>
      <c r="E39" s="17"/>
      <c r="F39" s="17"/>
      <c r="G39" s="17"/>
      <c r="H39" s="17"/>
    </row>
    <row r="40" spans="1:8" ht="15.75" customHeight="1" x14ac:dyDescent="0.25">
      <c r="A40" s="17"/>
      <c r="B40" s="17"/>
      <c r="C40" s="17"/>
      <c r="D40" s="17"/>
      <c r="E40" s="17"/>
      <c r="F40" s="17"/>
      <c r="G40" s="17"/>
      <c r="H40" s="17"/>
    </row>
    <row r="41" spans="1:8" ht="15.75" customHeight="1" x14ac:dyDescent="0.25">
      <c r="A41" s="17"/>
      <c r="B41" s="17"/>
      <c r="C41" s="17"/>
      <c r="D41" s="17"/>
      <c r="E41" s="17"/>
      <c r="F41" s="17"/>
      <c r="G41" s="17"/>
      <c r="H41" s="17"/>
    </row>
    <row r="42" spans="1:8" ht="15.75" customHeight="1" x14ac:dyDescent="0.25">
      <c r="A42" s="17"/>
      <c r="B42" s="17"/>
      <c r="C42" s="17"/>
      <c r="D42" s="17"/>
      <c r="E42" s="17"/>
      <c r="F42" s="17"/>
      <c r="G42" s="17"/>
      <c r="H42" s="17"/>
    </row>
    <row r="43" spans="1:8" ht="15.75" customHeight="1" x14ac:dyDescent="0.25">
      <c r="A43" s="17"/>
      <c r="B43" s="17"/>
      <c r="C43" s="17"/>
      <c r="D43" s="17"/>
      <c r="E43" s="17"/>
      <c r="F43" s="17"/>
      <c r="G43" s="17"/>
      <c r="H43" s="17"/>
    </row>
    <row r="44" spans="1:8" ht="15.75" customHeight="1" x14ac:dyDescent="0.25">
      <c r="A44" s="17"/>
      <c r="B44" s="17"/>
      <c r="C44" s="17"/>
      <c r="D44" s="17"/>
      <c r="E44" s="17"/>
      <c r="F44" s="17"/>
      <c r="G44" s="17"/>
      <c r="H44" s="17"/>
    </row>
    <row r="45" spans="1:8" ht="15.75" customHeight="1" x14ac:dyDescent="0.25">
      <c r="A45" s="17"/>
      <c r="B45" s="17"/>
      <c r="C45" s="17"/>
      <c r="D45" s="17"/>
      <c r="E45" s="17"/>
      <c r="F45" s="17"/>
      <c r="G45" s="17"/>
      <c r="H45" s="17"/>
    </row>
    <row r="46" spans="1:8" ht="15.75" customHeight="1" x14ac:dyDescent="0.25">
      <c r="A46" s="17"/>
      <c r="B46" s="17"/>
      <c r="C46" s="17"/>
      <c r="D46" s="17"/>
      <c r="E46" s="17"/>
      <c r="F46" s="17"/>
      <c r="G46" s="17"/>
      <c r="H46" s="17"/>
    </row>
    <row r="47" spans="1:8" ht="15.75" customHeight="1" x14ac:dyDescent="0.25">
      <c r="A47" s="17"/>
      <c r="B47" s="17"/>
      <c r="C47" s="17"/>
      <c r="D47" s="17"/>
      <c r="E47" s="17"/>
      <c r="F47" s="17"/>
      <c r="G47" s="17"/>
      <c r="H47" s="17"/>
    </row>
    <row r="48" spans="1:8" ht="15.75" customHeight="1" x14ac:dyDescent="0.25">
      <c r="A48" s="17"/>
      <c r="B48" s="17"/>
      <c r="C48" s="17"/>
      <c r="D48" s="17"/>
      <c r="E48" s="17"/>
      <c r="F48" s="17"/>
      <c r="G48" s="17"/>
      <c r="H48" s="17"/>
    </row>
    <row r="49" spans="1:8" ht="15.75" customHeight="1" x14ac:dyDescent="0.25">
      <c r="A49" s="17"/>
      <c r="B49" s="17"/>
      <c r="C49" s="17"/>
      <c r="D49" s="17"/>
      <c r="E49" s="17"/>
      <c r="F49" s="17"/>
      <c r="G49" s="17"/>
      <c r="H49" s="17"/>
    </row>
    <row r="50" spans="1:8" ht="15.75" customHeight="1" x14ac:dyDescent="0.25">
      <c r="A50" s="17"/>
      <c r="B50" s="17"/>
      <c r="C50" s="17"/>
      <c r="D50" s="17"/>
      <c r="E50" s="17"/>
      <c r="F50" s="17"/>
      <c r="G50" s="17"/>
      <c r="H50" s="17"/>
    </row>
    <row r="51" spans="1:8" ht="15.75" customHeight="1" x14ac:dyDescent="0.25">
      <c r="A51" s="17"/>
      <c r="B51" s="17"/>
      <c r="C51" s="17"/>
      <c r="D51" s="17"/>
      <c r="E51" s="17"/>
      <c r="F51" s="17"/>
      <c r="G51" s="17"/>
      <c r="H51" s="17"/>
    </row>
    <row r="52" spans="1:8" ht="15.75" customHeight="1" x14ac:dyDescent="0.25">
      <c r="A52" s="17"/>
      <c r="B52" s="17"/>
      <c r="C52" s="17"/>
      <c r="D52" s="17"/>
      <c r="E52" s="17"/>
      <c r="F52" s="17"/>
      <c r="G52" s="17"/>
      <c r="H52" s="17"/>
    </row>
    <row r="53" spans="1:8" ht="15.75" customHeight="1" x14ac:dyDescent="0.25">
      <c r="A53" s="17"/>
      <c r="B53" s="17"/>
      <c r="C53" s="17"/>
      <c r="D53" s="17"/>
      <c r="E53" s="17"/>
      <c r="F53" s="17"/>
      <c r="G53" s="17"/>
      <c r="H53" s="17"/>
    </row>
    <row r="54" spans="1:8" ht="15.75" customHeight="1" x14ac:dyDescent="0.25">
      <c r="A54" s="17"/>
      <c r="B54" s="17"/>
      <c r="C54" s="17"/>
      <c r="D54" s="17"/>
      <c r="E54" s="17"/>
      <c r="F54" s="17"/>
      <c r="G54" s="17"/>
      <c r="H54" s="17"/>
    </row>
    <row r="55" spans="1:8" ht="15.75" customHeight="1" x14ac:dyDescent="0.25">
      <c r="A55" s="17"/>
      <c r="B55" s="17"/>
      <c r="C55" s="17"/>
      <c r="D55" s="17"/>
      <c r="E55" s="17"/>
      <c r="F55" s="17"/>
      <c r="G55" s="17"/>
      <c r="H55" s="17"/>
    </row>
    <row r="56" spans="1:8" ht="15.75" customHeight="1" x14ac:dyDescent="0.25">
      <c r="A56" s="17"/>
      <c r="B56" s="17"/>
      <c r="C56" s="17"/>
      <c r="D56" s="17"/>
      <c r="E56" s="17"/>
      <c r="F56" s="17"/>
      <c r="G56" s="17"/>
      <c r="H56" s="17"/>
    </row>
    <row r="57" spans="1:8" ht="15.75" customHeight="1" x14ac:dyDescent="0.25">
      <c r="A57" s="17"/>
      <c r="B57" s="17"/>
      <c r="C57" s="17"/>
      <c r="D57" s="17"/>
      <c r="E57" s="17"/>
      <c r="F57" s="17"/>
      <c r="G57" s="17"/>
      <c r="H57" s="17"/>
    </row>
    <row r="58" spans="1:8" ht="15.75" customHeight="1" x14ac:dyDescent="0.25">
      <c r="A58" s="17"/>
      <c r="B58" s="17"/>
      <c r="C58" s="17"/>
      <c r="D58" s="17"/>
      <c r="E58" s="17"/>
      <c r="F58" s="17"/>
      <c r="G58" s="17"/>
      <c r="H58" s="17"/>
    </row>
    <row r="59" spans="1:8" ht="15.75" customHeight="1" x14ac:dyDescent="0.25">
      <c r="A59" s="17"/>
      <c r="B59" s="17"/>
      <c r="C59" s="17"/>
      <c r="D59" s="17"/>
      <c r="E59" s="17"/>
      <c r="F59" s="17"/>
      <c r="G59" s="17"/>
      <c r="H59" s="17"/>
    </row>
    <row r="60" spans="1:8" ht="15.75" customHeight="1" x14ac:dyDescent="0.25">
      <c r="A60" s="17"/>
      <c r="B60" s="17"/>
      <c r="C60" s="17"/>
      <c r="D60" s="17"/>
      <c r="E60" s="17"/>
      <c r="F60" s="17"/>
      <c r="G60" s="17"/>
      <c r="H60" s="17"/>
    </row>
    <row r="61" spans="1:8" ht="15.75" customHeight="1" x14ac:dyDescent="0.25">
      <c r="A61" s="17"/>
      <c r="B61" s="17"/>
      <c r="C61" s="17"/>
      <c r="D61" s="17"/>
      <c r="E61" s="17"/>
      <c r="F61" s="17"/>
      <c r="G61" s="17"/>
      <c r="H61" s="17"/>
    </row>
    <row r="62" spans="1:8" ht="15.75" customHeight="1" x14ac:dyDescent="0.25">
      <c r="A62" s="17"/>
      <c r="B62" s="17"/>
      <c r="C62" s="17"/>
      <c r="D62" s="17"/>
      <c r="E62" s="17"/>
      <c r="F62" s="17"/>
      <c r="G62" s="17"/>
      <c r="H62" s="17"/>
    </row>
    <row r="63" spans="1:8" ht="15.75" customHeight="1" x14ac:dyDescent="0.25">
      <c r="A63" s="17"/>
      <c r="B63" s="17"/>
      <c r="C63" s="17"/>
      <c r="D63" s="17"/>
      <c r="E63" s="17"/>
      <c r="F63" s="17"/>
      <c r="G63" s="17"/>
      <c r="H63" s="17"/>
    </row>
    <row r="64" spans="1:8" ht="15.75" customHeight="1" x14ac:dyDescent="0.25">
      <c r="A64" s="17"/>
      <c r="B64" s="17"/>
      <c r="C64" s="17"/>
      <c r="D64" s="17"/>
      <c r="E64" s="17"/>
      <c r="F64" s="17"/>
      <c r="G64" s="17"/>
      <c r="H64" s="17"/>
    </row>
    <row r="65" spans="1:8" ht="15.75" customHeight="1" x14ac:dyDescent="0.25">
      <c r="A65" s="17"/>
      <c r="B65" s="17"/>
      <c r="C65" s="17"/>
      <c r="D65" s="17"/>
      <c r="E65" s="17"/>
      <c r="F65" s="17"/>
      <c r="G65" s="17"/>
      <c r="H65" s="17"/>
    </row>
    <row r="66" spans="1:8" ht="15.75" customHeight="1" x14ac:dyDescent="0.25">
      <c r="A66" s="17"/>
      <c r="B66" s="17"/>
      <c r="C66" s="17"/>
      <c r="D66" s="17"/>
      <c r="E66" s="17"/>
      <c r="F66" s="17"/>
      <c r="G66" s="17"/>
      <c r="H66" s="17"/>
    </row>
    <row r="67" spans="1:8" ht="15.75" customHeight="1" x14ac:dyDescent="0.25">
      <c r="A67" s="17"/>
      <c r="B67" s="17"/>
      <c r="C67" s="17"/>
      <c r="D67" s="17"/>
      <c r="E67" s="17"/>
      <c r="F67" s="17"/>
      <c r="G67" s="17"/>
      <c r="H67" s="17"/>
    </row>
    <row r="68" spans="1:8" ht="15.75" customHeight="1" x14ac:dyDescent="0.25">
      <c r="A68" s="17"/>
      <c r="B68" s="17"/>
      <c r="C68" s="17"/>
      <c r="D68" s="17"/>
      <c r="E68" s="17"/>
      <c r="F68" s="17"/>
      <c r="G68" s="17"/>
      <c r="H68" s="17"/>
    </row>
    <row r="69" spans="1:8" ht="15.75" customHeight="1" x14ac:dyDescent="0.25">
      <c r="A69" s="17"/>
      <c r="B69" s="17"/>
      <c r="C69" s="17"/>
      <c r="D69" s="17"/>
      <c r="E69" s="17"/>
      <c r="F69" s="17"/>
      <c r="G69" s="17"/>
      <c r="H69" s="17"/>
    </row>
    <row r="70" spans="1:8" ht="15.75" customHeight="1" x14ac:dyDescent="0.25">
      <c r="A70" s="17"/>
      <c r="B70" s="17"/>
      <c r="C70" s="17"/>
      <c r="D70" s="17"/>
      <c r="E70" s="17"/>
      <c r="F70" s="17"/>
      <c r="G70" s="17"/>
      <c r="H70" s="17"/>
    </row>
    <row r="71" spans="1:8" ht="15.75" customHeight="1" x14ac:dyDescent="0.25">
      <c r="A71" s="17"/>
      <c r="B71" s="17"/>
      <c r="C71" s="17"/>
      <c r="D71" s="17"/>
      <c r="E71" s="17"/>
      <c r="F71" s="17"/>
      <c r="G71" s="17"/>
      <c r="H71" s="17"/>
    </row>
    <row r="72" spans="1:8" ht="15.75" customHeight="1" x14ac:dyDescent="0.25">
      <c r="A72" s="17"/>
      <c r="B72" s="17"/>
      <c r="C72" s="17"/>
      <c r="D72" s="17"/>
      <c r="E72" s="17"/>
      <c r="F72" s="17"/>
      <c r="G72" s="17"/>
      <c r="H72" s="17"/>
    </row>
    <row r="73" spans="1:8" ht="15.75" customHeight="1" x14ac:dyDescent="0.25">
      <c r="A73" s="17"/>
      <c r="B73" s="17"/>
      <c r="C73" s="17"/>
      <c r="D73" s="17"/>
      <c r="E73" s="17"/>
      <c r="F73" s="17"/>
      <c r="G73" s="17"/>
      <c r="H73" s="17"/>
    </row>
    <row r="74" spans="1:8" ht="15.75" customHeight="1" x14ac:dyDescent="0.25">
      <c r="A74" s="17"/>
      <c r="B74" s="17"/>
      <c r="C74" s="17"/>
      <c r="D74" s="17"/>
      <c r="E74" s="17"/>
      <c r="F74" s="17"/>
      <c r="G74" s="17"/>
      <c r="H74" s="17"/>
    </row>
    <row r="75" spans="1:8" ht="15.75" customHeight="1" x14ac:dyDescent="0.25">
      <c r="A75" s="17"/>
      <c r="B75" s="17"/>
      <c r="C75" s="17"/>
      <c r="D75" s="17"/>
      <c r="E75" s="17"/>
      <c r="F75" s="17"/>
      <c r="G75" s="17"/>
      <c r="H75" s="17"/>
    </row>
    <row r="76" spans="1:8" ht="15.75" customHeight="1" x14ac:dyDescent="0.25">
      <c r="A76" s="17"/>
      <c r="B76" s="17"/>
      <c r="C76" s="17"/>
      <c r="D76" s="17"/>
      <c r="E76" s="17"/>
      <c r="F76" s="17"/>
      <c r="G76" s="17"/>
      <c r="H76" s="17"/>
    </row>
    <row r="77" spans="1:8" ht="15.75" customHeight="1" x14ac:dyDescent="0.25">
      <c r="A77" s="17"/>
      <c r="B77" s="17"/>
      <c r="C77" s="17"/>
      <c r="D77" s="17"/>
      <c r="E77" s="17"/>
      <c r="F77" s="17"/>
      <c r="G77" s="17"/>
      <c r="H77" s="17"/>
    </row>
    <row r="78" spans="1:8" ht="15.75" customHeight="1" x14ac:dyDescent="0.25">
      <c r="A78" s="17"/>
      <c r="B78" s="17"/>
      <c r="C78" s="17"/>
      <c r="D78" s="17"/>
      <c r="E78" s="17"/>
      <c r="F78" s="17"/>
      <c r="G78" s="17"/>
      <c r="H78" s="17"/>
    </row>
    <row r="79" spans="1:8" ht="15.75" customHeight="1" x14ac:dyDescent="0.25">
      <c r="A79" s="17"/>
      <c r="B79" s="17"/>
      <c r="C79" s="17"/>
      <c r="D79" s="17"/>
      <c r="E79" s="17"/>
      <c r="F79" s="17"/>
      <c r="G79" s="17"/>
      <c r="H79" s="17"/>
    </row>
    <row r="80" spans="1:8" ht="15.75" customHeight="1" x14ac:dyDescent="0.25">
      <c r="A80" s="17"/>
      <c r="B80" s="17"/>
      <c r="C80" s="17"/>
      <c r="D80" s="17"/>
      <c r="E80" s="17"/>
      <c r="F80" s="17"/>
      <c r="G80" s="17"/>
      <c r="H80" s="17"/>
    </row>
    <row r="81" spans="1:8" ht="15.75" customHeight="1" x14ac:dyDescent="0.25">
      <c r="A81" s="17"/>
      <c r="B81" s="17"/>
      <c r="C81" s="17"/>
      <c r="D81" s="17"/>
      <c r="E81" s="17"/>
      <c r="F81" s="17"/>
      <c r="G81" s="17"/>
      <c r="H81" s="17"/>
    </row>
    <row r="82" spans="1:8" ht="15.75" customHeight="1" x14ac:dyDescent="0.25">
      <c r="A82" s="17"/>
      <c r="B82" s="17"/>
      <c r="C82" s="17"/>
      <c r="D82" s="17"/>
      <c r="E82" s="17"/>
      <c r="F82" s="17"/>
      <c r="G82" s="17"/>
      <c r="H82" s="17"/>
    </row>
    <row r="83" spans="1:8" ht="15.75" customHeight="1" x14ac:dyDescent="0.25">
      <c r="A83" s="17"/>
      <c r="B83" s="17"/>
      <c r="C83" s="17"/>
      <c r="D83" s="17"/>
      <c r="E83" s="17"/>
      <c r="F83" s="17"/>
      <c r="G83" s="17"/>
      <c r="H83" s="17"/>
    </row>
    <row r="84" spans="1:8" ht="15.75" customHeight="1" x14ac:dyDescent="0.25">
      <c r="A84" s="17"/>
      <c r="B84" s="17"/>
      <c r="C84" s="17"/>
      <c r="D84" s="17"/>
      <c r="E84" s="17"/>
      <c r="F84" s="17"/>
      <c r="G84" s="17"/>
      <c r="H84" s="17"/>
    </row>
    <row r="85" spans="1:8" ht="15.75" customHeight="1" x14ac:dyDescent="0.25">
      <c r="A85" s="17"/>
      <c r="B85" s="17"/>
      <c r="C85" s="17"/>
      <c r="D85" s="17"/>
      <c r="E85" s="17"/>
      <c r="F85" s="17"/>
      <c r="G85" s="17"/>
      <c r="H85" s="17"/>
    </row>
    <row r="86" spans="1:8" ht="15.75" customHeight="1" x14ac:dyDescent="0.25">
      <c r="A86" s="17"/>
      <c r="B86" s="17"/>
      <c r="C86" s="17"/>
      <c r="D86" s="17"/>
      <c r="E86" s="17"/>
      <c r="F86" s="17"/>
      <c r="G86" s="17"/>
      <c r="H86" s="17"/>
    </row>
    <row r="87" spans="1:8" ht="15.75" customHeight="1" x14ac:dyDescent="0.25">
      <c r="A87" s="17"/>
      <c r="B87" s="17"/>
      <c r="C87" s="17"/>
      <c r="D87" s="17"/>
      <c r="E87" s="17"/>
      <c r="F87" s="17"/>
      <c r="G87" s="17"/>
      <c r="H87" s="17"/>
    </row>
    <row r="88" spans="1:8" ht="15.75" customHeight="1" x14ac:dyDescent="0.25">
      <c r="A88" s="17"/>
      <c r="B88" s="17"/>
      <c r="C88" s="17"/>
      <c r="D88" s="17"/>
      <c r="E88" s="17"/>
      <c r="F88" s="17"/>
      <c r="G88" s="17"/>
      <c r="H88" s="17"/>
    </row>
    <row r="89" spans="1:8" ht="15.75" customHeight="1" x14ac:dyDescent="0.25">
      <c r="A89" s="17"/>
      <c r="B89" s="17"/>
      <c r="C89" s="17"/>
      <c r="D89" s="17"/>
      <c r="E89" s="17"/>
      <c r="F89" s="17"/>
      <c r="G89" s="17"/>
      <c r="H89" s="17"/>
    </row>
    <row r="90" spans="1:8" ht="15.75" customHeight="1" x14ac:dyDescent="0.25">
      <c r="A90" s="17"/>
      <c r="B90" s="17"/>
      <c r="C90" s="17"/>
      <c r="D90" s="17"/>
      <c r="E90" s="17"/>
      <c r="F90" s="17"/>
      <c r="G90" s="17"/>
      <c r="H90" s="17"/>
    </row>
    <row r="91" spans="1:8" ht="15.75" customHeight="1" x14ac:dyDescent="0.25">
      <c r="A91" s="17"/>
      <c r="B91" s="17"/>
      <c r="C91" s="17"/>
      <c r="D91" s="17"/>
      <c r="E91" s="17"/>
      <c r="F91" s="17"/>
      <c r="G91" s="17"/>
      <c r="H91" s="17"/>
    </row>
    <row r="92" spans="1:8" ht="15.75" customHeight="1" x14ac:dyDescent="0.25">
      <c r="A92" s="17"/>
      <c r="B92" s="17"/>
      <c r="C92" s="17"/>
      <c r="D92" s="17"/>
      <c r="E92" s="17"/>
      <c r="F92" s="17"/>
      <c r="G92" s="17"/>
      <c r="H92" s="17"/>
    </row>
    <row r="93" spans="1:8" ht="15.75" customHeight="1" x14ac:dyDescent="0.25">
      <c r="A93" s="17"/>
      <c r="B93" s="17"/>
      <c r="C93" s="17"/>
      <c r="D93" s="17"/>
      <c r="E93" s="17"/>
      <c r="F93" s="17"/>
      <c r="G93" s="17"/>
      <c r="H93" s="17"/>
    </row>
    <row r="94" spans="1:8" ht="15.75" customHeight="1" x14ac:dyDescent="0.25">
      <c r="A94" s="17"/>
      <c r="B94" s="17"/>
      <c r="C94" s="17"/>
      <c r="D94" s="17"/>
      <c r="E94" s="17"/>
      <c r="F94" s="17"/>
      <c r="G94" s="17"/>
      <c r="H94" s="17"/>
    </row>
    <row r="95" spans="1:8" ht="15.75" customHeight="1" x14ac:dyDescent="0.25">
      <c r="A95" s="17"/>
      <c r="B95" s="17"/>
      <c r="C95" s="17"/>
      <c r="D95" s="17"/>
      <c r="E95" s="17"/>
      <c r="F95" s="17"/>
      <c r="G95" s="17"/>
      <c r="H95" s="17"/>
    </row>
    <row r="96" spans="1:8" ht="15.75" customHeight="1" x14ac:dyDescent="0.25">
      <c r="A96" s="17"/>
      <c r="B96" s="17"/>
      <c r="C96" s="17"/>
      <c r="D96" s="17"/>
      <c r="E96" s="17"/>
      <c r="F96" s="17"/>
      <c r="G96" s="17"/>
      <c r="H96" s="17"/>
    </row>
    <row r="97" spans="1:8" ht="15.75" customHeight="1" x14ac:dyDescent="0.25">
      <c r="A97" s="17"/>
      <c r="B97" s="17"/>
      <c r="C97" s="17"/>
      <c r="D97" s="17"/>
      <c r="E97" s="17"/>
      <c r="F97" s="17"/>
      <c r="G97" s="17"/>
      <c r="H97" s="17"/>
    </row>
    <row r="98" spans="1:8" ht="15.75" customHeight="1" x14ac:dyDescent="0.25">
      <c r="A98" s="17"/>
      <c r="B98" s="17"/>
      <c r="C98" s="17"/>
      <c r="D98" s="17"/>
      <c r="E98" s="17"/>
      <c r="F98" s="17"/>
      <c r="G98" s="17"/>
      <c r="H98" s="17"/>
    </row>
    <row r="99" spans="1:8" ht="15.75" customHeight="1" x14ac:dyDescent="0.25">
      <c r="A99" s="17"/>
      <c r="B99" s="17"/>
      <c r="C99" s="17"/>
      <c r="D99" s="17"/>
      <c r="E99" s="17"/>
      <c r="F99" s="17"/>
      <c r="G99" s="17"/>
      <c r="H99" s="17"/>
    </row>
    <row r="100" spans="1:8" ht="15.75" customHeight="1" x14ac:dyDescent="0.25">
      <c r="A100" s="17"/>
      <c r="B100" s="17"/>
      <c r="C100" s="17"/>
      <c r="D100" s="17"/>
      <c r="E100" s="17"/>
      <c r="F100" s="17"/>
      <c r="G100" s="17"/>
      <c r="H100" s="17"/>
    </row>
  </sheetData>
  <mergeCells count="19">
    <mergeCell ref="A1:H1"/>
    <mergeCell ref="A2:B2"/>
    <mergeCell ref="C2:D2"/>
    <mergeCell ref="E2:F2"/>
    <mergeCell ref="G2:H2"/>
    <mergeCell ref="A5:H5"/>
    <mergeCell ref="A36:D36"/>
    <mergeCell ref="A37:D37"/>
    <mergeCell ref="A38:D38"/>
    <mergeCell ref="C3:D3"/>
    <mergeCell ref="A21:D21"/>
    <mergeCell ref="A22:D22"/>
    <mergeCell ref="A23:D23"/>
    <mergeCell ref="A25:H25"/>
    <mergeCell ref="A33:D33"/>
    <mergeCell ref="A35:H35"/>
    <mergeCell ref="E3:F3"/>
    <mergeCell ref="G3:H3"/>
    <mergeCell ref="A3:B3"/>
  </mergeCells>
  <pageMargins left="0.75" right="0.75" top="1" bottom="1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94F37"/>
  </sheetPr>
  <dimension ref="A1:H100"/>
  <sheetViews>
    <sheetView workbookViewId="0">
      <pane ySplit="3" topLeftCell="A7" activePane="bottomLeft" state="frozen"/>
      <selection pane="bottomLeft" activeCell="A18" sqref="A18:G18"/>
    </sheetView>
  </sheetViews>
  <sheetFormatPr defaultColWidth="14.42578125" defaultRowHeight="15" customHeight="1" x14ac:dyDescent="0.25"/>
  <cols>
    <col min="1" max="1" width="10" customWidth="1"/>
    <col min="2" max="2" width="26" customWidth="1"/>
    <col min="3" max="7" width="16" customWidth="1"/>
    <col min="8" max="8" width="20" customWidth="1"/>
  </cols>
  <sheetData>
    <row r="1" spans="1:8" ht="27.75" customHeight="1" x14ac:dyDescent="0.25">
      <c r="A1" s="163" t="s">
        <v>136</v>
      </c>
      <c r="B1" s="146"/>
      <c r="C1" s="146"/>
      <c r="D1" s="146"/>
      <c r="E1" s="146"/>
      <c r="F1" s="146"/>
      <c r="G1" s="146"/>
      <c r="H1" s="147"/>
    </row>
    <row r="2" spans="1:8" ht="18" customHeight="1" x14ac:dyDescent="0.25">
      <c r="A2" s="164" t="s">
        <v>34</v>
      </c>
      <c r="B2" s="147"/>
      <c r="C2" s="164" t="s">
        <v>35</v>
      </c>
      <c r="D2" s="147"/>
      <c r="E2" s="164" t="s">
        <v>36</v>
      </c>
      <c r="F2" s="147"/>
      <c r="G2" s="164" t="s">
        <v>37</v>
      </c>
      <c r="H2" s="147"/>
    </row>
    <row r="3" spans="1:8" ht="21.75" customHeight="1" x14ac:dyDescent="0.25">
      <c r="A3" s="162">
        <f>E33</f>
        <v>6914</v>
      </c>
      <c r="B3" s="147"/>
      <c r="C3" s="154">
        <f>E23</f>
        <v>1848</v>
      </c>
      <c r="D3" s="147"/>
      <c r="E3" s="160">
        <f>E33-E23</f>
        <v>5066</v>
      </c>
      <c r="F3" s="147"/>
      <c r="G3" s="161">
        <f>IF(E33&gt;0,(E33-E23)/E33,0)</f>
        <v>0.73271622794330349</v>
      </c>
      <c r="H3" s="147"/>
    </row>
    <row r="4" spans="1:8" ht="14.25" customHeight="1" x14ac:dyDescent="0.25">
      <c r="A4" s="17"/>
      <c r="B4" s="17"/>
      <c r="C4" s="17"/>
      <c r="D4" s="17"/>
      <c r="E4" s="17"/>
      <c r="F4" s="17"/>
      <c r="G4" s="17"/>
      <c r="H4" s="17"/>
    </row>
    <row r="5" spans="1:8" ht="19.5" customHeight="1" x14ac:dyDescent="0.25">
      <c r="A5" s="150" t="s">
        <v>137</v>
      </c>
      <c r="B5" s="146"/>
      <c r="C5" s="146"/>
      <c r="D5" s="146"/>
      <c r="E5" s="146"/>
      <c r="F5" s="146"/>
      <c r="G5" s="146"/>
      <c r="H5" s="147"/>
    </row>
    <row r="6" spans="1:8" ht="15" customHeight="1" x14ac:dyDescent="0.25">
      <c r="A6" s="36" t="s">
        <v>22</v>
      </c>
      <c r="B6" s="36" t="s">
        <v>39</v>
      </c>
      <c r="C6" s="60" t="s">
        <v>40</v>
      </c>
      <c r="D6" s="36" t="s">
        <v>41</v>
      </c>
      <c r="E6" s="36" t="s">
        <v>42</v>
      </c>
      <c r="F6" s="36" t="s">
        <v>43</v>
      </c>
      <c r="G6" s="36" t="s">
        <v>44</v>
      </c>
      <c r="H6" s="36"/>
    </row>
    <row r="7" spans="1:8" ht="15" customHeight="1" x14ac:dyDescent="0.25">
      <c r="A7" s="37"/>
      <c r="B7" s="72" t="s">
        <v>81</v>
      </c>
      <c r="C7" s="73" t="s">
        <v>138</v>
      </c>
      <c r="D7" s="37" t="s">
        <v>83</v>
      </c>
      <c r="E7" s="39">
        <v>60</v>
      </c>
      <c r="F7" s="37"/>
      <c r="G7" s="37" t="s">
        <v>84</v>
      </c>
      <c r="H7" s="37"/>
    </row>
    <row r="8" spans="1:8" ht="15" customHeight="1" x14ac:dyDescent="0.25">
      <c r="A8" s="40" t="s">
        <v>139</v>
      </c>
      <c r="B8" s="72" t="s">
        <v>131</v>
      </c>
      <c r="C8" s="62"/>
      <c r="D8" s="37"/>
      <c r="E8" s="39">
        <v>108</v>
      </c>
      <c r="F8" s="37"/>
      <c r="G8" s="37"/>
      <c r="H8" s="37"/>
    </row>
    <row r="9" spans="1:8" ht="15" customHeight="1" x14ac:dyDescent="0.25">
      <c r="A9" s="37" t="s">
        <v>139</v>
      </c>
      <c r="B9" s="76" t="s">
        <v>49</v>
      </c>
      <c r="C9" s="63"/>
      <c r="D9" s="40" t="s">
        <v>90</v>
      </c>
      <c r="E9" s="42">
        <v>250</v>
      </c>
      <c r="F9" s="40"/>
      <c r="G9" s="40"/>
      <c r="H9" s="40"/>
    </row>
    <row r="10" spans="1:8" ht="15" customHeight="1" x14ac:dyDescent="0.25">
      <c r="A10" s="40" t="s">
        <v>139</v>
      </c>
      <c r="B10" s="72" t="s">
        <v>51</v>
      </c>
      <c r="C10" s="62"/>
      <c r="D10" s="40" t="s">
        <v>90</v>
      </c>
      <c r="E10" s="39">
        <v>178</v>
      </c>
      <c r="F10" s="37"/>
      <c r="G10" s="37"/>
      <c r="H10" s="37"/>
    </row>
    <row r="11" spans="1:8" ht="15" customHeight="1" x14ac:dyDescent="0.25">
      <c r="A11" s="37" t="s">
        <v>139</v>
      </c>
      <c r="B11" s="76"/>
      <c r="C11" s="63"/>
      <c r="D11" s="40"/>
      <c r="E11" s="42"/>
      <c r="F11" s="40"/>
      <c r="G11" s="40"/>
      <c r="H11" s="40"/>
    </row>
    <row r="12" spans="1:8" ht="23.25" customHeight="1" x14ac:dyDescent="0.25">
      <c r="A12" s="40" t="s">
        <v>139</v>
      </c>
      <c r="B12" s="72" t="s">
        <v>53</v>
      </c>
      <c r="C12" s="62"/>
      <c r="D12" s="37" t="s">
        <v>92</v>
      </c>
      <c r="E12" s="39">
        <v>140</v>
      </c>
      <c r="F12" s="37"/>
      <c r="G12" s="37" t="s">
        <v>102</v>
      </c>
      <c r="H12" s="37"/>
    </row>
    <row r="13" spans="1:8" ht="15" customHeight="1" x14ac:dyDescent="0.25">
      <c r="A13" s="37" t="s">
        <v>139</v>
      </c>
      <c r="B13" s="76" t="s">
        <v>54</v>
      </c>
      <c r="C13" s="63"/>
      <c r="D13" s="37" t="s">
        <v>92</v>
      </c>
      <c r="E13" s="42">
        <v>288</v>
      </c>
      <c r="F13" s="40"/>
      <c r="G13" s="40"/>
      <c r="H13" s="40"/>
    </row>
    <row r="14" spans="1:8" ht="15" customHeight="1" x14ac:dyDescent="0.25">
      <c r="A14" s="31"/>
      <c r="B14" s="72" t="s">
        <v>55</v>
      </c>
      <c r="C14" s="62"/>
      <c r="D14" s="37" t="s">
        <v>92</v>
      </c>
      <c r="E14" s="39">
        <v>100</v>
      </c>
      <c r="F14" s="37"/>
      <c r="G14" s="37"/>
      <c r="H14" s="37"/>
    </row>
    <row r="15" spans="1:8" ht="15" customHeight="1" x14ac:dyDescent="0.25">
      <c r="A15" s="31"/>
      <c r="B15" s="31" t="s">
        <v>140</v>
      </c>
      <c r="C15" s="64" t="s">
        <v>141</v>
      </c>
      <c r="D15" s="31" t="s">
        <v>142</v>
      </c>
      <c r="E15" s="39">
        <v>224</v>
      </c>
      <c r="F15" s="31"/>
      <c r="G15" s="31"/>
      <c r="H15" s="31"/>
    </row>
    <row r="16" spans="1:8" ht="15" customHeight="1" x14ac:dyDescent="0.25">
      <c r="A16" s="31"/>
      <c r="B16" s="31" t="s">
        <v>91</v>
      </c>
      <c r="C16" s="64"/>
      <c r="D16" s="31" t="s">
        <v>92</v>
      </c>
      <c r="E16" s="39">
        <v>200</v>
      </c>
      <c r="F16" s="31"/>
      <c r="G16" s="31"/>
      <c r="H16" s="31"/>
    </row>
    <row r="17" spans="1:8" ht="15" customHeight="1" x14ac:dyDescent="0.25">
      <c r="A17" s="31"/>
      <c r="B17" s="31" t="s">
        <v>143</v>
      </c>
      <c r="C17" s="64" t="s">
        <v>144</v>
      </c>
      <c r="D17" s="31" t="s">
        <v>145</v>
      </c>
      <c r="E17" s="39">
        <v>300</v>
      </c>
      <c r="F17" s="31"/>
      <c r="G17" s="31"/>
      <c r="H17" s="31"/>
    </row>
    <row r="18" spans="1:8" ht="15" customHeight="1" x14ac:dyDescent="0.25">
      <c r="A18" s="40"/>
      <c r="B18" s="40"/>
      <c r="C18" s="64"/>
      <c r="D18" s="40"/>
      <c r="E18" s="103"/>
      <c r="F18" s="31"/>
      <c r="G18" s="40"/>
      <c r="H18" s="31"/>
    </row>
    <row r="19" spans="1:8" ht="15" customHeight="1" x14ac:dyDescent="0.25">
      <c r="A19" s="31"/>
      <c r="B19" s="31"/>
      <c r="C19" s="64"/>
      <c r="D19" s="31"/>
      <c r="E19" s="39">
        <v>0</v>
      </c>
      <c r="F19" s="31"/>
      <c r="G19" s="31"/>
      <c r="H19" s="31"/>
    </row>
    <row r="20" spans="1:8" ht="15" customHeight="1" x14ac:dyDescent="0.25">
      <c r="A20" s="31"/>
      <c r="B20" s="31"/>
      <c r="C20" s="64"/>
      <c r="D20" s="31"/>
      <c r="E20" s="39">
        <v>0</v>
      </c>
      <c r="F20" s="31"/>
      <c r="G20" s="31"/>
      <c r="H20" s="31"/>
    </row>
    <row r="21" spans="1:8" ht="15" customHeight="1" x14ac:dyDescent="0.25">
      <c r="A21" s="155" t="s">
        <v>56</v>
      </c>
      <c r="B21" s="152"/>
      <c r="C21" s="152"/>
      <c r="D21" s="153"/>
      <c r="E21" s="43">
        <f>SUM(E7:E20)</f>
        <v>1848</v>
      </c>
      <c r="F21" s="44"/>
      <c r="G21" s="44"/>
      <c r="H21" s="44"/>
    </row>
    <row r="22" spans="1:8" ht="15" customHeight="1" x14ac:dyDescent="0.25">
      <c r="A22" s="156" t="s">
        <v>57</v>
      </c>
      <c r="B22" s="152"/>
      <c r="C22" s="152"/>
      <c r="D22" s="153"/>
      <c r="E22" s="45"/>
      <c r="F22" s="44"/>
      <c r="G22" s="44"/>
      <c r="H22" s="44"/>
    </row>
    <row r="23" spans="1:8" ht="15" customHeight="1" x14ac:dyDescent="0.25">
      <c r="A23" s="157" t="s">
        <v>58</v>
      </c>
      <c r="B23" s="152"/>
      <c r="C23" s="152"/>
      <c r="D23" s="153"/>
      <c r="E23" s="46">
        <f>E21+E22</f>
        <v>1848</v>
      </c>
      <c r="F23" s="47"/>
      <c r="G23" s="47"/>
      <c r="H23" s="47"/>
    </row>
    <row r="24" spans="1:8" ht="15.75" customHeight="1" x14ac:dyDescent="0.25">
      <c r="A24" s="17"/>
      <c r="B24" s="17"/>
      <c r="C24" s="17"/>
      <c r="D24" s="17"/>
      <c r="E24" s="17"/>
      <c r="F24" s="17"/>
      <c r="G24" s="17"/>
      <c r="H24" s="17"/>
    </row>
    <row r="25" spans="1:8" ht="19.5" customHeight="1" x14ac:dyDescent="0.25">
      <c r="A25" s="158" t="s">
        <v>146</v>
      </c>
      <c r="B25" s="146"/>
      <c r="C25" s="146"/>
      <c r="D25" s="146"/>
      <c r="E25" s="146"/>
      <c r="F25" s="146"/>
      <c r="G25" s="146"/>
      <c r="H25" s="147"/>
    </row>
    <row r="26" spans="1:8" ht="15" customHeight="1" x14ac:dyDescent="0.25">
      <c r="A26" s="48" t="s">
        <v>22</v>
      </c>
      <c r="B26" s="48" t="s">
        <v>39</v>
      </c>
      <c r="C26" s="48" t="s">
        <v>40</v>
      </c>
      <c r="D26" s="48" t="s">
        <v>41</v>
      </c>
      <c r="E26" s="48" t="s">
        <v>42</v>
      </c>
      <c r="F26" s="48" t="s">
        <v>60</v>
      </c>
      <c r="G26" s="48" t="s">
        <v>44</v>
      </c>
      <c r="H26" s="48"/>
    </row>
    <row r="27" spans="1:8" ht="15" customHeight="1" x14ac:dyDescent="0.25">
      <c r="A27" s="104">
        <v>46327</v>
      </c>
      <c r="B27" s="50" t="s">
        <v>61</v>
      </c>
      <c r="C27" s="49" t="s">
        <v>62</v>
      </c>
      <c r="D27" s="49" t="s">
        <v>50</v>
      </c>
      <c r="E27" s="51">
        <v>2880</v>
      </c>
      <c r="F27" s="49"/>
      <c r="G27" s="49"/>
      <c r="H27" s="49"/>
    </row>
    <row r="28" spans="1:8" ht="15" customHeight="1" x14ac:dyDescent="0.25">
      <c r="A28" s="104">
        <v>46327</v>
      </c>
      <c r="B28" s="53" t="s">
        <v>147</v>
      </c>
      <c r="C28" s="52" t="s">
        <v>62</v>
      </c>
      <c r="D28" s="52" t="s">
        <v>50</v>
      </c>
      <c r="E28" s="54">
        <v>2200</v>
      </c>
      <c r="F28" s="52"/>
      <c r="G28" s="52"/>
      <c r="H28" s="52"/>
    </row>
    <row r="29" spans="1:8" ht="15" customHeight="1" x14ac:dyDescent="0.25">
      <c r="A29" s="104"/>
      <c r="B29" s="50"/>
      <c r="C29" s="49"/>
      <c r="D29" s="49"/>
      <c r="E29" s="51"/>
      <c r="F29" s="49"/>
      <c r="G29" s="49"/>
      <c r="H29" s="49"/>
    </row>
    <row r="30" spans="1:8" ht="15" customHeight="1" x14ac:dyDescent="0.25">
      <c r="A30" s="104">
        <v>46327</v>
      </c>
      <c r="B30" s="53" t="s">
        <v>148</v>
      </c>
      <c r="C30" s="52"/>
      <c r="D30" s="52" t="s">
        <v>149</v>
      </c>
      <c r="E30" s="54">
        <v>1400</v>
      </c>
      <c r="F30" s="52"/>
      <c r="G30" s="52"/>
      <c r="H30" s="52"/>
    </row>
    <row r="31" spans="1:8" ht="15" customHeight="1" x14ac:dyDescent="0.25">
      <c r="A31" s="105">
        <v>46327</v>
      </c>
      <c r="B31" s="53" t="s">
        <v>150</v>
      </c>
      <c r="C31" s="55"/>
      <c r="D31" s="55" t="s">
        <v>149</v>
      </c>
      <c r="E31" s="54">
        <v>434</v>
      </c>
      <c r="F31" s="55"/>
      <c r="G31" s="55"/>
      <c r="H31" s="55"/>
    </row>
    <row r="32" spans="1:8" ht="15" customHeight="1" x14ac:dyDescent="0.25">
      <c r="A32" s="55"/>
      <c r="B32" s="55"/>
      <c r="C32" s="55"/>
      <c r="D32" s="55"/>
      <c r="E32" s="54">
        <v>0</v>
      </c>
      <c r="F32" s="55"/>
      <c r="G32" s="55"/>
      <c r="H32" s="55"/>
    </row>
    <row r="33" spans="1:8" ht="15" customHeight="1" x14ac:dyDescent="0.25">
      <c r="A33" s="157" t="s">
        <v>66</v>
      </c>
      <c r="B33" s="152"/>
      <c r="C33" s="152"/>
      <c r="D33" s="153"/>
      <c r="E33" s="46">
        <f>SUM(E27:E32)</f>
        <v>6914</v>
      </c>
      <c r="F33" s="47"/>
      <c r="G33" s="47"/>
      <c r="H33" s="47"/>
    </row>
    <row r="34" spans="1:8" ht="15.75" customHeight="1" x14ac:dyDescent="0.25">
      <c r="A34" s="17"/>
      <c r="B34" s="17"/>
      <c r="C34" s="17"/>
      <c r="D34" s="17"/>
      <c r="E34" s="17"/>
      <c r="F34" s="17"/>
      <c r="G34" s="17"/>
      <c r="H34" s="17"/>
    </row>
    <row r="35" spans="1:8" ht="19.5" customHeight="1" x14ac:dyDescent="0.25">
      <c r="A35" s="159" t="s">
        <v>67</v>
      </c>
      <c r="B35" s="146"/>
      <c r="C35" s="146"/>
      <c r="D35" s="146"/>
      <c r="E35" s="146"/>
      <c r="F35" s="146"/>
      <c r="G35" s="146"/>
      <c r="H35" s="147"/>
    </row>
    <row r="36" spans="1:8" ht="15" customHeight="1" x14ac:dyDescent="0.25">
      <c r="A36" s="151" t="s">
        <v>68</v>
      </c>
      <c r="B36" s="152"/>
      <c r="C36" s="152"/>
      <c r="D36" s="153"/>
      <c r="E36" s="57">
        <f>E33-E23</f>
        <v>5066</v>
      </c>
      <c r="F36" s="58"/>
      <c r="G36" s="58"/>
      <c r="H36" s="58"/>
    </row>
    <row r="37" spans="1:8" ht="15" customHeight="1" x14ac:dyDescent="0.25">
      <c r="A37" s="151" t="s">
        <v>76</v>
      </c>
      <c r="B37" s="152"/>
      <c r="C37" s="152"/>
      <c r="D37" s="153"/>
      <c r="E37" s="57">
        <f>0.7*(E33-E23)</f>
        <v>3546.2</v>
      </c>
      <c r="F37" s="58"/>
      <c r="G37" s="58"/>
      <c r="H37" s="58"/>
    </row>
    <row r="38" spans="1:8" ht="15" customHeight="1" x14ac:dyDescent="0.25">
      <c r="A38" s="151" t="s">
        <v>70</v>
      </c>
      <c r="B38" s="152"/>
      <c r="C38" s="152"/>
      <c r="D38" s="153"/>
      <c r="E38" s="57">
        <f>E23/6</f>
        <v>308</v>
      </c>
      <c r="F38" s="58"/>
      <c r="G38" s="58"/>
      <c r="H38" s="58"/>
    </row>
    <row r="39" spans="1:8" ht="15.75" customHeight="1" x14ac:dyDescent="0.25">
      <c r="A39" s="17"/>
      <c r="B39" s="17"/>
      <c r="C39" s="17"/>
      <c r="D39" s="17"/>
      <c r="E39" s="17"/>
      <c r="F39" s="17"/>
      <c r="G39" s="17"/>
      <c r="H39" s="17"/>
    </row>
    <row r="40" spans="1:8" ht="15.75" customHeight="1" x14ac:dyDescent="0.25">
      <c r="A40" s="17"/>
      <c r="B40" s="17"/>
      <c r="C40" s="17"/>
      <c r="D40" s="17"/>
      <c r="E40" s="17"/>
      <c r="F40" s="17"/>
      <c r="G40" s="17"/>
      <c r="H40" s="17"/>
    </row>
    <row r="41" spans="1:8" ht="15.75" customHeight="1" x14ac:dyDescent="0.25">
      <c r="A41" s="17"/>
      <c r="B41" s="17"/>
      <c r="C41" s="17"/>
      <c r="D41" s="17"/>
      <c r="E41" s="17"/>
      <c r="F41" s="17"/>
      <c r="G41" s="17"/>
      <c r="H41" s="17"/>
    </row>
    <row r="42" spans="1:8" ht="15.75" customHeight="1" x14ac:dyDescent="0.25">
      <c r="A42" s="17"/>
      <c r="B42" s="17"/>
      <c r="C42" s="17"/>
      <c r="D42" s="17"/>
      <c r="E42" s="17"/>
      <c r="F42" s="17"/>
      <c r="G42" s="17"/>
      <c r="H42" s="17"/>
    </row>
    <row r="43" spans="1:8" ht="15.75" customHeight="1" x14ac:dyDescent="0.25">
      <c r="A43" s="17"/>
      <c r="B43" s="17"/>
      <c r="C43" s="17"/>
      <c r="D43" s="17"/>
      <c r="E43" s="17"/>
      <c r="F43" s="17"/>
      <c r="G43" s="17"/>
      <c r="H43" s="17"/>
    </row>
    <row r="44" spans="1:8" ht="15.75" customHeight="1" x14ac:dyDescent="0.25">
      <c r="A44" s="17"/>
      <c r="B44" s="17"/>
      <c r="C44" s="17"/>
      <c r="D44" s="17"/>
      <c r="E44" s="17"/>
      <c r="F44" s="17"/>
      <c r="G44" s="17"/>
      <c r="H44" s="17"/>
    </row>
    <row r="45" spans="1:8" ht="15.75" customHeight="1" x14ac:dyDescent="0.25">
      <c r="A45" s="17"/>
      <c r="B45" s="17"/>
      <c r="C45" s="17"/>
      <c r="D45" s="17"/>
      <c r="E45" s="17"/>
      <c r="F45" s="17"/>
      <c r="G45" s="17"/>
      <c r="H45" s="17"/>
    </row>
    <row r="46" spans="1:8" ht="15.75" customHeight="1" x14ac:dyDescent="0.25">
      <c r="A46" s="17"/>
      <c r="B46" s="17"/>
      <c r="C46" s="17"/>
      <c r="D46" s="17"/>
      <c r="E46" s="17"/>
      <c r="F46" s="17"/>
      <c r="G46" s="17"/>
      <c r="H46" s="17"/>
    </row>
    <row r="47" spans="1:8" ht="15.75" customHeight="1" x14ac:dyDescent="0.25">
      <c r="A47" s="17"/>
      <c r="B47" s="17"/>
      <c r="C47" s="17"/>
      <c r="D47" s="17"/>
      <c r="E47" s="17"/>
      <c r="F47" s="17"/>
      <c r="G47" s="17"/>
      <c r="H47" s="17"/>
    </row>
    <row r="48" spans="1:8" ht="15.75" customHeight="1" x14ac:dyDescent="0.25">
      <c r="A48" s="17"/>
      <c r="B48" s="17"/>
      <c r="C48" s="17"/>
      <c r="D48" s="17"/>
      <c r="E48" s="17"/>
      <c r="F48" s="17"/>
      <c r="G48" s="17"/>
      <c r="H48" s="17"/>
    </row>
    <row r="49" spans="1:8" ht="15.75" customHeight="1" x14ac:dyDescent="0.25">
      <c r="A49" s="17"/>
      <c r="B49" s="17"/>
      <c r="C49" s="17"/>
      <c r="D49" s="17"/>
      <c r="E49" s="17"/>
      <c r="F49" s="17"/>
      <c r="G49" s="17"/>
      <c r="H49" s="17"/>
    </row>
    <row r="50" spans="1:8" ht="15.75" customHeight="1" x14ac:dyDescent="0.25">
      <c r="A50" s="17"/>
      <c r="B50" s="17"/>
      <c r="C50" s="17"/>
      <c r="D50" s="17"/>
      <c r="E50" s="17"/>
      <c r="F50" s="17"/>
      <c r="G50" s="17"/>
      <c r="H50" s="17"/>
    </row>
    <row r="51" spans="1:8" ht="15.75" customHeight="1" x14ac:dyDescent="0.25">
      <c r="A51" s="17"/>
      <c r="B51" s="17"/>
      <c r="C51" s="17"/>
      <c r="D51" s="17"/>
      <c r="E51" s="17"/>
      <c r="F51" s="17"/>
      <c r="G51" s="17"/>
      <c r="H51" s="17"/>
    </row>
    <row r="52" spans="1:8" ht="15.75" customHeight="1" x14ac:dyDescent="0.25">
      <c r="A52" s="17"/>
      <c r="B52" s="17"/>
      <c r="C52" s="17"/>
      <c r="D52" s="17"/>
      <c r="E52" s="17"/>
      <c r="F52" s="17"/>
      <c r="G52" s="17"/>
      <c r="H52" s="17"/>
    </row>
    <row r="53" spans="1:8" ht="15.75" customHeight="1" x14ac:dyDescent="0.25">
      <c r="A53" s="17"/>
      <c r="B53" s="17"/>
      <c r="C53" s="17"/>
      <c r="D53" s="17"/>
      <c r="E53" s="17"/>
      <c r="F53" s="17"/>
      <c r="G53" s="17"/>
      <c r="H53" s="17"/>
    </row>
    <row r="54" spans="1:8" ht="15.75" customHeight="1" x14ac:dyDescent="0.25">
      <c r="A54" s="17"/>
      <c r="B54" s="17"/>
      <c r="C54" s="17"/>
      <c r="D54" s="17"/>
      <c r="E54" s="17"/>
      <c r="F54" s="17"/>
      <c r="G54" s="17"/>
      <c r="H54" s="17"/>
    </row>
    <row r="55" spans="1:8" ht="15.75" customHeight="1" x14ac:dyDescent="0.25">
      <c r="A55" s="17"/>
      <c r="B55" s="17"/>
      <c r="C55" s="17"/>
      <c r="D55" s="17"/>
      <c r="E55" s="17"/>
      <c r="F55" s="17"/>
      <c r="G55" s="17"/>
      <c r="H55" s="17"/>
    </row>
    <row r="56" spans="1:8" ht="15.75" customHeight="1" x14ac:dyDescent="0.25">
      <c r="A56" s="17"/>
      <c r="B56" s="17"/>
      <c r="C56" s="17"/>
      <c r="D56" s="17"/>
      <c r="E56" s="17"/>
      <c r="F56" s="17"/>
      <c r="G56" s="17"/>
      <c r="H56" s="17"/>
    </row>
    <row r="57" spans="1:8" ht="15.75" customHeight="1" x14ac:dyDescent="0.25">
      <c r="A57" s="17"/>
      <c r="B57" s="17"/>
      <c r="C57" s="17"/>
      <c r="D57" s="17"/>
      <c r="E57" s="17"/>
      <c r="F57" s="17"/>
      <c r="G57" s="17"/>
      <c r="H57" s="17"/>
    </row>
    <row r="58" spans="1:8" ht="15.75" customHeight="1" x14ac:dyDescent="0.25">
      <c r="A58" s="17"/>
      <c r="B58" s="17"/>
      <c r="C58" s="17"/>
      <c r="D58" s="17"/>
      <c r="E58" s="17"/>
      <c r="F58" s="17"/>
      <c r="G58" s="17"/>
      <c r="H58" s="17"/>
    </row>
    <row r="59" spans="1:8" ht="15.75" customHeight="1" x14ac:dyDescent="0.25">
      <c r="A59" s="17"/>
      <c r="B59" s="17"/>
      <c r="C59" s="17"/>
      <c r="D59" s="17"/>
      <c r="E59" s="17"/>
      <c r="F59" s="17"/>
      <c r="G59" s="17"/>
      <c r="H59" s="17"/>
    </row>
    <row r="60" spans="1:8" ht="15.75" customHeight="1" x14ac:dyDescent="0.25">
      <c r="A60" s="17"/>
      <c r="B60" s="17"/>
      <c r="C60" s="17"/>
      <c r="D60" s="17"/>
      <c r="E60" s="17"/>
      <c r="F60" s="17"/>
      <c r="G60" s="17"/>
      <c r="H60" s="17"/>
    </row>
    <row r="61" spans="1:8" ht="15.75" customHeight="1" x14ac:dyDescent="0.25">
      <c r="A61" s="17"/>
      <c r="B61" s="17"/>
      <c r="C61" s="17"/>
      <c r="D61" s="17"/>
      <c r="E61" s="17"/>
      <c r="F61" s="17"/>
      <c r="G61" s="17"/>
      <c r="H61" s="17"/>
    </row>
    <row r="62" spans="1:8" ht="15.75" customHeight="1" x14ac:dyDescent="0.25">
      <c r="A62" s="17"/>
      <c r="B62" s="17"/>
      <c r="C62" s="17"/>
      <c r="D62" s="17"/>
      <c r="E62" s="17"/>
      <c r="F62" s="17"/>
      <c r="G62" s="17"/>
      <c r="H62" s="17"/>
    </row>
    <row r="63" spans="1:8" ht="15.75" customHeight="1" x14ac:dyDescent="0.25">
      <c r="A63" s="17"/>
      <c r="B63" s="17"/>
      <c r="C63" s="17"/>
      <c r="D63" s="17"/>
      <c r="E63" s="17"/>
      <c r="F63" s="17"/>
      <c r="G63" s="17"/>
      <c r="H63" s="17"/>
    </row>
    <row r="64" spans="1:8" ht="15.75" customHeight="1" x14ac:dyDescent="0.25">
      <c r="A64" s="17"/>
      <c r="B64" s="17"/>
      <c r="C64" s="17"/>
      <c r="D64" s="17"/>
      <c r="E64" s="17"/>
      <c r="F64" s="17"/>
      <c r="G64" s="17"/>
      <c r="H64" s="17"/>
    </row>
    <row r="65" spans="1:8" ht="15.75" customHeight="1" x14ac:dyDescent="0.25">
      <c r="A65" s="17"/>
      <c r="B65" s="17"/>
      <c r="C65" s="17"/>
      <c r="D65" s="17"/>
      <c r="E65" s="17"/>
      <c r="F65" s="17"/>
      <c r="G65" s="17"/>
      <c r="H65" s="17"/>
    </row>
    <row r="66" spans="1:8" ht="15.75" customHeight="1" x14ac:dyDescent="0.25">
      <c r="A66" s="17"/>
      <c r="B66" s="17"/>
      <c r="C66" s="17"/>
      <c r="D66" s="17"/>
      <c r="E66" s="17"/>
      <c r="F66" s="17"/>
      <c r="G66" s="17"/>
      <c r="H66" s="17"/>
    </row>
    <row r="67" spans="1:8" ht="15.75" customHeight="1" x14ac:dyDescent="0.25">
      <c r="A67" s="17"/>
      <c r="B67" s="17"/>
      <c r="C67" s="17"/>
      <c r="D67" s="17"/>
      <c r="E67" s="17"/>
      <c r="F67" s="17"/>
      <c r="G67" s="17"/>
      <c r="H67" s="17"/>
    </row>
    <row r="68" spans="1:8" ht="15.75" customHeight="1" x14ac:dyDescent="0.25">
      <c r="A68" s="17"/>
      <c r="B68" s="17"/>
      <c r="C68" s="17"/>
      <c r="D68" s="17"/>
      <c r="E68" s="17"/>
      <c r="F68" s="17"/>
      <c r="G68" s="17"/>
      <c r="H68" s="17"/>
    </row>
    <row r="69" spans="1:8" ht="15.75" customHeight="1" x14ac:dyDescent="0.25">
      <c r="A69" s="17"/>
      <c r="B69" s="17"/>
      <c r="C69" s="17"/>
      <c r="D69" s="17"/>
      <c r="E69" s="17"/>
      <c r="F69" s="17"/>
      <c r="G69" s="17"/>
      <c r="H69" s="17"/>
    </row>
    <row r="70" spans="1:8" ht="15.75" customHeight="1" x14ac:dyDescent="0.25">
      <c r="A70" s="17"/>
      <c r="B70" s="17"/>
      <c r="C70" s="17"/>
      <c r="D70" s="17"/>
      <c r="E70" s="17"/>
      <c r="F70" s="17"/>
      <c r="G70" s="17"/>
      <c r="H70" s="17"/>
    </row>
    <row r="71" spans="1:8" ht="15.75" customHeight="1" x14ac:dyDescent="0.25">
      <c r="A71" s="17"/>
      <c r="B71" s="17"/>
      <c r="C71" s="17"/>
      <c r="D71" s="17"/>
      <c r="E71" s="17"/>
      <c r="F71" s="17"/>
      <c r="G71" s="17"/>
      <c r="H71" s="17"/>
    </row>
    <row r="72" spans="1:8" ht="15.75" customHeight="1" x14ac:dyDescent="0.25">
      <c r="A72" s="17"/>
      <c r="B72" s="17"/>
      <c r="C72" s="17"/>
      <c r="D72" s="17"/>
      <c r="E72" s="17"/>
      <c r="F72" s="17"/>
      <c r="G72" s="17"/>
      <c r="H72" s="17"/>
    </row>
    <row r="73" spans="1:8" ht="15.75" customHeight="1" x14ac:dyDescent="0.25">
      <c r="A73" s="17"/>
      <c r="B73" s="17"/>
      <c r="C73" s="17"/>
      <c r="D73" s="17"/>
      <c r="E73" s="17"/>
      <c r="F73" s="17"/>
      <c r="G73" s="17"/>
      <c r="H73" s="17"/>
    </row>
    <row r="74" spans="1:8" ht="15.75" customHeight="1" x14ac:dyDescent="0.25">
      <c r="A74" s="17"/>
      <c r="B74" s="17"/>
      <c r="C74" s="17"/>
      <c r="D74" s="17"/>
      <c r="E74" s="17"/>
      <c r="F74" s="17"/>
      <c r="G74" s="17"/>
      <c r="H74" s="17"/>
    </row>
    <row r="75" spans="1:8" ht="15.75" customHeight="1" x14ac:dyDescent="0.25">
      <c r="A75" s="17"/>
      <c r="B75" s="17"/>
      <c r="C75" s="17"/>
      <c r="D75" s="17"/>
      <c r="E75" s="17"/>
      <c r="F75" s="17"/>
      <c r="G75" s="17"/>
      <c r="H75" s="17"/>
    </row>
    <row r="76" spans="1:8" ht="15.75" customHeight="1" x14ac:dyDescent="0.25">
      <c r="A76" s="17"/>
      <c r="B76" s="17"/>
      <c r="C76" s="17"/>
      <c r="D76" s="17"/>
      <c r="E76" s="17"/>
      <c r="F76" s="17"/>
      <c r="G76" s="17"/>
      <c r="H76" s="17"/>
    </row>
    <row r="77" spans="1:8" ht="15.75" customHeight="1" x14ac:dyDescent="0.25">
      <c r="A77" s="17"/>
      <c r="B77" s="17"/>
      <c r="C77" s="17"/>
      <c r="D77" s="17"/>
      <c r="E77" s="17"/>
      <c r="F77" s="17"/>
      <c r="G77" s="17"/>
      <c r="H77" s="17"/>
    </row>
    <row r="78" spans="1:8" ht="15.75" customHeight="1" x14ac:dyDescent="0.25">
      <c r="A78" s="17"/>
      <c r="B78" s="17"/>
      <c r="C78" s="17"/>
      <c r="D78" s="17"/>
      <c r="E78" s="17"/>
      <c r="F78" s="17"/>
      <c r="G78" s="17"/>
      <c r="H78" s="17"/>
    </row>
    <row r="79" spans="1:8" ht="15.75" customHeight="1" x14ac:dyDescent="0.25">
      <c r="A79" s="17"/>
      <c r="B79" s="17"/>
      <c r="C79" s="17"/>
      <c r="D79" s="17"/>
      <c r="E79" s="17"/>
      <c r="F79" s="17"/>
      <c r="G79" s="17"/>
      <c r="H79" s="17"/>
    </row>
    <row r="80" spans="1:8" ht="15.75" customHeight="1" x14ac:dyDescent="0.25">
      <c r="A80" s="17"/>
      <c r="B80" s="17"/>
      <c r="C80" s="17"/>
      <c r="D80" s="17"/>
      <c r="E80" s="17"/>
      <c r="F80" s="17"/>
      <c r="G80" s="17"/>
      <c r="H80" s="17"/>
    </row>
    <row r="81" spans="1:8" ht="15.75" customHeight="1" x14ac:dyDescent="0.25">
      <c r="A81" s="17"/>
      <c r="B81" s="17"/>
      <c r="C81" s="17"/>
      <c r="D81" s="17"/>
      <c r="E81" s="17"/>
      <c r="F81" s="17"/>
      <c r="G81" s="17"/>
      <c r="H81" s="17"/>
    </row>
    <row r="82" spans="1:8" ht="15.75" customHeight="1" x14ac:dyDescent="0.25">
      <c r="A82" s="17"/>
      <c r="B82" s="17"/>
      <c r="C82" s="17"/>
      <c r="D82" s="17"/>
      <c r="E82" s="17"/>
      <c r="F82" s="17"/>
      <c r="G82" s="17"/>
      <c r="H82" s="17"/>
    </row>
    <row r="83" spans="1:8" ht="15.75" customHeight="1" x14ac:dyDescent="0.25">
      <c r="A83" s="17"/>
      <c r="B83" s="17"/>
      <c r="C83" s="17"/>
      <c r="D83" s="17"/>
      <c r="E83" s="17"/>
      <c r="F83" s="17"/>
      <c r="G83" s="17"/>
      <c r="H83" s="17"/>
    </row>
    <row r="84" spans="1:8" ht="15.75" customHeight="1" x14ac:dyDescent="0.25">
      <c r="A84" s="17"/>
      <c r="B84" s="17"/>
      <c r="C84" s="17"/>
      <c r="D84" s="17"/>
      <c r="E84" s="17"/>
      <c r="F84" s="17"/>
      <c r="G84" s="17"/>
      <c r="H84" s="17"/>
    </row>
    <row r="85" spans="1:8" ht="15.75" customHeight="1" x14ac:dyDescent="0.25">
      <c r="A85" s="17"/>
      <c r="B85" s="17"/>
      <c r="C85" s="17"/>
      <c r="D85" s="17"/>
      <c r="E85" s="17"/>
      <c r="F85" s="17"/>
      <c r="G85" s="17"/>
      <c r="H85" s="17"/>
    </row>
    <row r="86" spans="1:8" ht="15.75" customHeight="1" x14ac:dyDescent="0.25">
      <c r="A86" s="17"/>
      <c r="B86" s="17"/>
      <c r="C86" s="17"/>
      <c r="D86" s="17"/>
      <c r="E86" s="17"/>
      <c r="F86" s="17"/>
      <c r="G86" s="17"/>
      <c r="H86" s="17"/>
    </row>
    <row r="87" spans="1:8" ht="15.75" customHeight="1" x14ac:dyDescent="0.25">
      <c r="A87" s="17"/>
      <c r="B87" s="17"/>
      <c r="C87" s="17"/>
      <c r="D87" s="17"/>
      <c r="E87" s="17"/>
      <c r="F87" s="17"/>
      <c r="G87" s="17"/>
      <c r="H87" s="17"/>
    </row>
    <row r="88" spans="1:8" ht="15.75" customHeight="1" x14ac:dyDescent="0.25">
      <c r="A88" s="17"/>
      <c r="B88" s="17"/>
      <c r="C88" s="17"/>
      <c r="D88" s="17"/>
      <c r="E88" s="17"/>
      <c r="F88" s="17"/>
      <c r="G88" s="17"/>
      <c r="H88" s="17"/>
    </row>
    <row r="89" spans="1:8" ht="15.75" customHeight="1" x14ac:dyDescent="0.25">
      <c r="A89" s="17"/>
      <c r="B89" s="17"/>
      <c r="C89" s="17"/>
      <c r="D89" s="17"/>
      <c r="E89" s="17"/>
      <c r="F89" s="17"/>
      <c r="G89" s="17"/>
      <c r="H89" s="17"/>
    </row>
    <row r="90" spans="1:8" ht="15.75" customHeight="1" x14ac:dyDescent="0.25">
      <c r="A90" s="17"/>
      <c r="B90" s="17"/>
      <c r="C90" s="17"/>
      <c r="D90" s="17"/>
      <c r="E90" s="17"/>
      <c r="F90" s="17"/>
      <c r="G90" s="17"/>
      <c r="H90" s="17"/>
    </row>
    <row r="91" spans="1:8" ht="15.75" customHeight="1" x14ac:dyDescent="0.25">
      <c r="A91" s="17"/>
      <c r="B91" s="17"/>
      <c r="C91" s="17"/>
      <c r="D91" s="17"/>
      <c r="E91" s="17"/>
      <c r="F91" s="17"/>
      <c r="G91" s="17"/>
      <c r="H91" s="17"/>
    </row>
    <row r="92" spans="1:8" ht="15.75" customHeight="1" x14ac:dyDescent="0.25">
      <c r="A92" s="17"/>
      <c r="B92" s="17"/>
      <c r="C92" s="17"/>
      <c r="D92" s="17"/>
      <c r="E92" s="17"/>
      <c r="F92" s="17"/>
      <c r="G92" s="17"/>
      <c r="H92" s="17"/>
    </row>
    <row r="93" spans="1:8" ht="15.75" customHeight="1" x14ac:dyDescent="0.25">
      <c r="A93" s="17"/>
      <c r="B93" s="17"/>
      <c r="C93" s="17"/>
      <c r="D93" s="17"/>
      <c r="E93" s="17"/>
      <c r="F93" s="17"/>
      <c r="G93" s="17"/>
      <c r="H93" s="17"/>
    </row>
    <row r="94" spans="1:8" ht="15.75" customHeight="1" x14ac:dyDescent="0.25">
      <c r="A94" s="17"/>
      <c r="B94" s="17"/>
      <c r="C94" s="17"/>
      <c r="D94" s="17"/>
      <c r="E94" s="17"/>
      <c r="F94" s="17"/>
      <c r="G94" s="17"/>
      <c r="H94" s="17"/>
    </row>
    <row r="95" spans="1:8" ht="15.75" customHeight="1" x14ac:dyDescent="0.25">
      <c r="A95" s="17"/>
      <c r="B95" s="17"/>
      <c r="C95" s="17"/>
      <c r="D95" s="17"/>
      <c r="E95" s="17"/>
      <c r="F95" s="17"/>
      <c r="G95" s="17"/>
      <c r="H95" s="17"/>
    </row>
    <row r="96" spans="1:8" ht="15.75" customHeight="1" x14ac:dyDescent="0.25">
      <c r="A96" s="17"/>
      <c r="B96" s="17"/>
      <c r="C96" s="17"/>
      <c r="D96" s="17"/>
      <c r="E96" s="17"/>
      <c r="F96" s="17"/>
      <c r="G96" s="17"/>
      <c r="H96" s="17"/>
    </row>
    <row r="97" spans="1:8" ht="15.75" customHeight="1" x14ac:dyDescent="0.25">
      <c r="A97" s="17"/>
      <c r="B97" s="17"/>
      <c r="C97" s="17"/>
      <c r="D97" s="17"/>
      <c r="E97" s="17"/>
      <c r="F97" s="17"/>
      <c r="G97" s="17"/>
      <c r="H97" s="17"/>
    </row>
    <row r="98" spans="1:8" ht="15.75" customHeight="1" x14ac:dyDescent="0.25">
      <c r="A98" s="17"/>
      <c r="B98" s="17"/>
      <c r="C98" s="17"/>
      <c r="D98" s="17"/>
      <c r="E98" s="17"/>
      <c r="F98" s="17"/>
      <c r="G98" s="17"/>
      <c r="H98" s="17"/>
    </row>
    <row r="99" spans="1:8" ht="15.75" customHeight="1" x14ac:dyDescent="0.25">
      <c r="A99" s="17"/>
      <c r="B99" s="17"/>
      <c r="C99" s="17"/>
      <c r="D99" s="17"/>
      <c r="E99" s="17"/>
      <c r="F99" s="17"/>
      <c r="G99" s="17"/>
      <c r="H99" s="17"/>
    </row>
    <row r="100" spans="1:8" ht="15.75" customHeight="1" x14ac:dyDescent="0.25">
      <c r="A100" s="17"/>
      <c r="B100" s="17"/>
      <c r="C100" s="17"/>
      <c r="D100" s="17"/>
      <c r="E100" s="17"/>
      <c r="F100" s="17"/>
      <c r="G100" s="17"/>
      <c r="H100" s="17"/>
    </row>
  </sheetData>
  <mergeCells count="19">
    <mergeCell ref="A1:H1"/>
    <mergeCell ref="A2:B2"/>
    <mergeCell ref="C2:D2"/>
    <mergeCell ref="E2:F2"/>
    <mergeCell ref="G2:H2"/>
    <mergeCell ref="A5:H5"/>
    <mergeCell ref="A36:D36"/>
    <mergeCell ref="A37:D37"/>
    <mergeCell ref="A38:D38"/>
    <mergeCell ref="C3:D3"/>
    <mergeCell ref="A21:D21"/>
    <mergeCell ref="A22:D22"/>
    <mergeCell ref="A23:D23"/>
    <mergeCell ref="A25:H25"/>
    <mergeCell ref="A33:D33"/>
    <mergeCell ref="A35:H35"/>
    <mergeCell ref="E3:F3"/>
    <mergeCell ref="G3:H3"/>
    <mergeCell ref="A3:B3"/>
  </mergeCells>
  <pageMargins left="0.75" right="0.75" top="1" bottom="1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393E41"/>
  </sheetPr>
  <dimension ref="A1:H100"/>
  <sheetViews>
    <sheetView workbookViewId="0">
      <pane ySplit="3" topLeftCell="A4" activePane="bottomLeft" state="frozen"/>
      <selection pane="bottomLeft" activeCell="A14" sqref="A14:G14"/>
    </sheetView>
  </sheetViews>
  <sheetFormatPr defaultColWidth="14.42578125" defaultRowHeight="15" customHeight="1" x14ac:dyDescent="0.25"/>
  <cols>
    <col min="1" max="1" width="10" customWidth="1"/>
    <col min="2" max="2" width="26" customWidth="1"/>
    <col min="3" max="7" width="16" customWidth="1"/>
    <col min="8" max="8" width="20" customWidth="1"/>
  </cols>
  <sheetData>
    <row r="1" spans="1:8" ht="27.75" customHeight="1" x14ac:dyDescent="0.25">
      <c r="A1" s="163" t="s">
        <v>151</v>
      </c>
      <c r="B1" s="146"/>
      <c r="C1" s="146"/>
      <c r="D1" s="146"/>
      <c r="E1" s="146"/>
      <c r="F1" s="146"/>
      <c r="G1" s="146"/>
      <c r="H1" s="147"/>
    </row>
    <row r="2" spans="1:8" ht="18" customHeight="1" x14ac:dyDescent="0.25">
      <c r="A2" s="164" t="s">
        <v>34</v>
      </c>
      <c r="B2" s="147"/>
      <c r="C2" s="164" t="s">
        <v>35</v>
      </c>
      <c r="D2" s="147"/>
      <c r="E2" s="164" t="s">
        <v>36</v>
      </c>
      <c r="F2" s="147"/>
      <c r="G2" s="164" t="s">
        <v>37</v>
      </c>
      <c r="H2" s="147"/>
    </row>
    <row r="3" spans="1:8" ht="21.75" customHeight="1" x14ac:dyDescent="0.25">
      <c r="A3" s="162">
        <f>E28</f>
        <v>5000</v>
      </c>
      <c r="B3" s="147"/>
      <c r="C3" s="154">
        <f>E18</f>
        <v>1111</v>
      </c>
      <c r="D3" s="147"/>
      <c r="E3" s="160">
        <f>E28-E18</f>
        <v>3889</v>
      </c>
      <c r="F3" s="147"/>
      <c r="G3" s="161">
        <f>IF(E28&gt;0,(E28-E18)/E28,0)</f>
        <v>0.77780000000000005</v>
      </c>
      <c r="H3" s="147"/>
    </row>
    <row r="4" spans="1:8" ht="14.25" customHeight="1" x14ac:dyDescent="0.25">
      <c r="A4" s="17"/>
      <c r="B4" s="17"/>
      <c r="C4" s="17"/>
      <c r="D4" s="17"/>
      <c r="E4" s="17"/>
      <c r="F4" s="17"/>
      <c r="G4" s="17"/>
      <c r="H4" s="17"/>
    </row>
    <row r="5" spans="1:8" ht="19.5" customHeight="1" x14ac:dyDescent="0.25">
      <c r="A5" s="150" t="s">
        <v>152</v>
      </c>
      <c r="B5" s="146"/>
      <c r="C5" s="146"/>
      <c r="D5" s="146"/>
      <c r="E5" s="146"/>
      <c r="F5" s="146"/>
      <c r="G5" s="146"/>
      <c r="H5" s="147"/>
    </row>
    <row r="6" spans="1:8" ht="15" customHeight="1" x14ac:dyDescent="0.25">
      <c r="A6" s="36" t="s">
        <v>22</v>
      </c>
      <c r="B6" s="36" t="s">
        <v>39</v>
      </c>
      <c r="C6" s="36" t="s">
        <v>40</v>
      </c>
      <c r="D6" s="36" t="s">
        <v>41</v>
      </c>
      <c r="E6" s="36" t="s">
        <v>42</v>
      </c>
      <c r="F6" s="36" t="s">
        <v>43</v>
      </c>
      <c r="G6" s="36" t="s">
        <v>44</v>
      </c>
      <c r="H6" s="36"/>
    </row>
    <row r="7" spans="1:8" ht="15" customHeight="1" x14ac:dyDescent="0.25">
      <c r="A7" s="40" t="s">
        <v>153</v>
      </c>
      <c r="B7" s="38" t="s">
        <v>73</v>
      </c>
      <c r="C7" s="106" t="s">
        <v>154</v>
      </c>
      <c r="D7" s="37" t="s">
        <v>48</v>
      </c>
      <c r="E7" s="39">
        <v>108</v>
      </c>
      <c r="F7" s="40"/>
      <c r="G7" s="40"/>
      <c r="H7" s="40"/>
    </row>
    <row r="8" spans="1:8" ht="15" customHeight="1" x14ac:dyDescent="0.25">
      <c r="A8" s="37" t="s">
        <v>153</v>
      </c>
      <c r="B8" s="41" t="s">
        <v>49</v>
      </c>
      <c r="C8" s="63"/>
      <c r="D8" s="40" t="s">
        <v>50</v>
      </c>
      <c r="E8" s="42">
        <v>240</v>
      </c>
      <c r="F8" s="37"/>
      <c r="G8" s="37"/>
      <c r="H8" s="37"/>
    </row>
    <row r="9" spans="1:8" ht="15" customHeight="1" x14ac:dyDescent="0.25">
      <c r="A9" s="40" t="s">
        <v>153</v>
      </c>
      <c r="B9" s="38" t="s">
        <v>51</v>
      </c>
      <c r="C9" s="62"/>
      <c r="D9" s="37" t="s">
        <v>50</v>
      </c>
      <c r="E9" s="39">
        <v>200</v>
      </c>
      <c r="F9" s="40"/>
      <c r="G9" s="40"/>
      <c r="H9" s="40"/>
    </row>
    <row r="10" spans="1:8" ht="15" customHeight="1" x14ac:dyDescent="0.25">
      <c r="A10" s="37"/>
      <c r="B10" s="41"/>
      <c r="C10" s="63"/>
      <c r="D10" s="40"/>
      <c r="E10" s="42"/>
      <c r="F10" s="37"/>
      <c r="G10" s="37"/>
      <c r="H10" s="37"/>
    </row>
    <row r="11" spans="1:8" ht="15" customHeight="1" x14ac:dyDescent="0.25">
      <c r="A11" s="40" t="s">
        <v>153</v>
      </c>
      <c r="B11" s="38" t="s">
        <v>53</v>
      </c>
      <c r="C11" s="62"/>
      <c r="D11" s="37" t="s">
        <v>50</v>
      </c>
      <c r="E11" s="39">
        <v>140</v>
      </c>
      <c r="F11" s="40"/>
      <c r="G11" s="40"/>
      <c r="H11" s="40"/>
    </row>
    <row r="12" spans="1:8" ht="15" customHeight="1" x14ac:dyDescent="0.25">
      <c r="A12" s="37" t="s">
        <v>153</v>
      </c>
      <c r="B12" s="41" t="s">
        <v>54</v>
      </c>
      <c r="C12" s="63"/>
      <c r="D12" s="40" t="s">
        <v>50</v>
      </c>
      <c r="E12" s="42">
        <v>288</v>
      </c>
      <c r="F12" s="37"/>
      <c r="G12" s="37"/>
      <c r="H12" s="37"/>
    </row>
    <row r="13" spans="1:8" ht="15" customHeight="1" x14ac:dyDescent="0.25">
      <c r="A13" s="31"/>
      <c r="B13" s="38" t="s">
        <v>55</v>
      </c>
      <c r="C13" s="62"/>
      <c r="D13" s="37" t="s">
        <v>50</v>
      </c>
      <c r="E13" s="39">
        <v>135</v>
      </c>
      <c r="F13" s="31"/>
      <c r="G13" s="31"/>
      <c r="H13" s="31"/>
    </row>
    <row r="14" spans="1:8" ht="15" customHeight="1" x14ac:dyDescent="0.25">
      <c r="A14" s="40"/>
      <c r="B14" s="40"/>
      <c r="C14" s="31"/>
      <c r="D14" s="40"/>
      <c r="E14" s="107"/>
      <c r="F14" s="31"/>
      <c r="G14" s="40"/>
      <c r="H14" s="31"/>
    </row>
    <row r="15" spans="1:8" ht="15" customHeight="1" x14ac:dyDescent="0.25">
      <c r="A15" s="31"/>
      <c r="B15" s="31"/>
      <c r="C15" s="31"/>
      <c r="D15" s="31"/>
      <c r="E15" s="29"/>
      <c r="F15" s="31"/>
      <c r="G15" s="31"/>
      <c r="H15" s="31"/>
    </row>
    <row r="16" spans="1:8" ht="15" customHeight="1" x14ac:dyDescent="0.25">
      <c r="A16" s="155" t="s">
        <v>56</v>
      </c>
      <c r="B16" s="152"/>
      <c r="C16" s="152"/>
      <c r="D16" s="153"/>
      <c r="E16" s="43">
        <f>SUM(E7:E15)</f>
        <v>1111</v>
      </c>
      <c r="F16" s="44"/>
      <c r="G16" s="44"/>
      <c r="H16" s="44"/>
    </row>
    <row r="17" spans="1:8" ht="15" customHeight="1" x14ac:dyDescent="0.25">
      <c r="A17" s="156" t="s">
        <v>57</v>
      </c>
      <c r="B17" s="152"/>
      <c r="C17" s="152"/>
      <c r="D17" s="153"/>
      <c r="E17" s="45">
        <v>0</v>
      </c>
      <c r="F17" s="44"/>
      <c r="G17" s="44"/>
      <c r="H17" s="44"/>
    </row>
    <row r="18" spans="1:8" ht="15" customHeight="1" x14ac:dyDescent="0.25">
      <c r="A18" s="157" t="s">
        <v>58</v>
      </c>
      <c r="B18" s="152"/>
      <c r="C18" s="152"/>
      <c r="D18" s="153"/>
      <c r="E18" s="46">
        <f>E16+E17</f>
        <v>1111</v>
      </c>
      <c r="F18" s="47"/>
      <c r="G18" s="47"/>
      <c r="H18" s="47"/>
    </row>
    <row r="19" spans="1:8" ht="14.25" customHeight="1" x14ac:dyDescent="0.25">
      <c r="A19" s="17"/>
      <c r="B19" s="17"/>
      <c r="C19" s="17"/>
      <c r="D19" s="17"/>
      <c r="E19" s="17"/>
      <c r="F19" s="17"/>
      <c r="G19" s="17"/>
      <c r="H19" s="17"/>
    </row>
    <row r="20" spans="1:8" ht="19.5" customHeight="1" x14ac:dyDescent="0.25">
      <c r="A20" s="158" t="s">
        <v>155</v>
      </c>
      <c r="B20" s="146"/>
      <c r="C20" s="146"/>
      <c r="D20" s="146"/>
      <c r="E20" s="146"/>
      <c r="F20" s="146"/>
      <c r="G20" s="146"/>
      <c r="H20" s="147"/>
    </row>
    <row r="21" spans="1:8" ht="15" customHeight="1" x14ac:dyDescent="0.25">
      <c r="A21" s="48" t="s">
        <v>22</v>
      </c>
      <c r="B21" s="48" t="s">
        <v>39</v>
      </c>
      <c r="C21" s="48" t="s">
        <v>40</v>
      </c>
      <c r="D21" s="48" t="s">
        <v>41</v>
      </c>
      <c r="E21" s="48" t="s">
        <v>42</v>
      </c>
      <c r="F21" s="48" t="s">
        <v>60</v>
      </c>
      <c r="G21" s="48" t="s">
        <v>44</v>
      </c>
      <c r="H21" s="48"/>
    </row>
    <row r="22" spans="1:8" ht="15" customHeight="1" x14ac:dyDescent="0.25">
      <c r="A22" s="49" t="s">
        <v>153</v>
      </c>
      <c r="B22" s="50" t="s">
        <v>61</v>
      </c>
      <c r="C22" s="49" t="s">
        <v>62</v>
      </c>
      <c r="D22" s="49" t="s">
        <v>50</v>
      </c>
      <c r="E22" s="51">
        <v>2800</v>
      </c>
      <c r="F22" s="49"/>
      <c r="G22" s="49"/>
      <c r="H22" s="49"/>
    </row>
    <row r="23" spans="1:8" ht="15" customHeight="1" x14ac:dyDescent="0.25">
      <c r="A23" s="52" t="s">
        <v>153</v>
      </c>
      <c r="B23" s="53" t="s">
        <v>63</v>
      </c>
      <c r="C23" s="52" t="s">
        <v>62</v>
      </c>
      <c r="D23" s="52" t="s">
        <v>50</v>
      </c>
      <c r="E23" s="54">
        <v>2200</v>
      </c>
      <c r="F23" s="52"/>
      <c r="G23" s="52"/>
      <c r="H23" s="52"/>
    </row>
    <row r="24" spans="1:8" ht="15" customHeight="1" x14ac:dyDescent="0.25">
      <c r="A24" s="49" t="s">
        <v>153</v>
      </c>
      <c r="B24" s="50"/>
      <c r="C24" s="49"/>
      <c r="D24" s="49"/>
      <c r="E24" s="51"/>
      <c r="F24" s="49"/>
      <c r="G24" s="49"/>
      <c r="H24" s="49"/>
    </row>
    <row r="25" spans="1:8" ht="15" customHeight="1" x14ac:dyDescent="0.25">
      <c r="A25" s="52"/>
      <c r="B25" s="53"/>
      <c r="C25" s="52"/>
      <c r="D25" s="52"/>
      <c r="E25" s="54"/>
      <c r="F25" s="52"/>
      <c r="G25" s="52"/>
      <c r="H25" s="52"/>
    </row>
    <row r="26" spans="1:8" ht="15" customHeight="1" x14ac:dyDescent="0.25">
      <c r="A26" s="55"/>
      <c r="B26" s="55"/>
      <c r="C26" s="55"/>
      <c r="D26" s="55"/>
      <c r="E26" s="56"/>
      <c r="F26" s="55"/>
      <c r="G26" s="55"/>
      <c r="H26" s="55"/>
    </row>
    <row r="27" spans="1:8" ht="15" customHeight="1" x14ac:dyDescent="0.25">
      <c r="A27" s="55"/>
      <c r="B27" s="55"/>
      <c r="C27" s="55"/>
      <c r="D27" s="55"/>
      <c r="E27" s="56"/>
      <c r="F27" s="55"/>
      <c r="G27" s="55"/>
      <c r="H27" s="55"/>
    </row>
    <row r="28" spans="1:8" ht="15" customHeight="1" x14ac:dyDescent="0.25">
      <c r="A28" s="157" t="s">
        <v>66</v>
      </c>
      <c r="B28" s="152"/>
      <c r="C28" s="152"/>
      <c r="D28" s="153"/>
      <c r="E28" s="46">
        <f>SUM(E22:E27)</f>
        <v>5000</v>
      </c>
      <c r="F28" s="47"/>
      <c r="G28" s="47"/>
      <c r="H28" s="47"/>
    </row>
    <row r="29" spans="1:8" ht="15.75" customHeight="1" x14ac:dyDescent="0.25">
      <c r="A29" s="17"/>
      <c r="B29" s="17"/>
      <c r="C29" s="17"/>
      <c r="D29" s="17"/>
      <c r="E29" s="17"/>
      <c r="F29" s="17"/>
      <c r="G29" s="17"/>
      <c r="H29" s="17"/>
    </row>
    <row r="30" spans="1:8" ht="19.5" customHeight="1" x14ac:dyDescent="0.25">
      <c r="A30" s="159" t="s">
        <v>67</v>
      </c>
      <c r="B30" s="146"/>
      <c r="C30" s="146"/>
      <c r="D30" s="146"/>
      <c r="E30" s="146"/>
      <c r="F30" s="146"/>
      <c r="G30" s="146"/>
      <c r="H30" s="147"/>
    </row>
    <row r="31" spans="1:8" ht="15" customHeight="1" x14ac:dyDescent="0.25">
      <c r="A31" s="151" t="s">
        <v>68</v>
      </c>
      <c r="B31" s="152"/>
      <c r="C31" s="152"/>
      <c r="D31" s="153"/>
      <c r="E31" s="57">
        <f>E28-E18</f>
        <v>3889</v>
      </c>
      <c r="F31" s="58"/>
      <c r="G31" s="58"/>
      <c r="H31" s="58"/>
    </row>
    <row r="32" spans="1:8" ht="15" customHeight="1" x14ac:dyDescent="0.25">
      <c r="A32" s="151" t="s">
        <v>76</v>
      </c>
      <c r="B32" s="152"/>
      <c r="C32" s="152"/>
      <c r="D32" s="153"/>
      <c r="E32" s="57">
        <f>0.7*(E28-E18)</f>
        <v>2722.2999999999997</v>
      </c>
      <c r="F32" s="58"/>
      <c r="G32" s="58"/>
      <c r="H32" s="58"/>
    </row>
    <row r="33" spans="1:8" ht="15" customHeight="1" x14ac:dyDescent="0.25">
      <c r="A33" s="151" t="s">
        <v>70</v>
      </c>
      <c r="B33" s="152"/>
      <c r="C33" s="152"/>
      <c r="D33" s="153"/>
      <c r="E33" s="57">
        <f>E18/6</f>
        <v>185.16666666666666</v>
      </c>
      <c r="F33" s="58"/>
      <c r="G33" s="58"/>
      <c r="H33" s="58"/>
    </row>
    <row r="34" spans="1:8" ht="15.75" customHeight="1" x14ac:dyDescent="0.25">
      <c r="A34" s="17"/>
      <c r="B34" s="17"/>
      <c r="C34" s="17"/>
      <c r="D34" s="17"/>
      <c r="E34" s="17"/>
      <c r="F34" s="17"/>
      <c r="G34" s="17"/>
      <c r="H34" s="17"/>
    </row>
    <row r="35" spans="1:8" ht="15.75" customHeight="1" x14ac:dyDescent="0.25">
      <c r="A35" s="17"/>
      <c r="B35" s="17"/>
      <c r="C35" s="17"/>
      <c r="D35" s="17"/>
      <c r="E35" s="17"/>
      <c r="F35" s="17"/>
      <c r="G35" s="17"/>
      <c r="H35" s="17"/>
    </row>
    <row r="36" spans="1:8" ht="15.75" customHeight="1" x14ac:dyDescent="0.25">
      <c r="A36" s="17"/>
      <c r="B36" s="17"/>
      <c r="C36" s="17"/>
      <c r="D36" s="17"/>
      <c r="E36" s="17"/>
      <c r="F36" s="17"/>
      <c r="G36" s="17"/>
      <c r="H36" s="17"/>
    </row>
    <row r="37" spans="1:8" ht="15.75" customHeight="1" x14ac:dyDescent="0.25">
      <c r="A37" s="17"/>
      <c r="B37" s="17"/>
      <c r="C37" s="17"/>
      <c r="D37" s="17"/>
      <c r="E37" s="17"/>
      <c r="F37" s="17"/>
      <c r="G37" s="17"/>
      <c r="H37" s="17"/>
    </row>
    <row r="38" spans="1:8" ht="15.75" customHeight="1" x14ac:dyDescent="0.25">
      <c r="A38" s="17"/>
      <c r="B38" s="17"/>
      <c r="C38" s="17"/>
      <c r="D38" s="17"/>
      <c r="E38" s="17"/>
      <c r="F38" s="17"/>
      <c r="G38" s="17"/>
      <c r="H38" s="17"/>
    </row>
    <row r="39" spans="1:8" ht="15.75" customHeight="1" x14ac:dyDescent="0.25">
      <c r="A39" s="17"/>
      <c r="B39" s="17"/>
      <c r="C39" s="17"/>
      <c r="D39" s="17"/>
      <c r="E39" s="17"/>
      <c r="F39" s="17"/>
      <c r="G39" s="17"/>
      <c r="H39" s="17"/>
    </row>
    <row r="40" spans="1:8" ht="15.75" customHeight="1" x14ac:dyDescent="0.25">
      <c r="A40" s="17"/>
      <c r="B40" s="17"/>
      <c r="C40" s="17"/>
      <c r="D40" s="17"/>
      <c r="E40" s="17"/>
      <c r="F40" s="17"/>
      <c r="G40" s="17"/>
      <c r="H40" s="17"/>
    </row>
    <row r="41" spans="1:8" ht="15.75" customHeight="1" x14ac:dyDescent="0.25">
      <c r="A41" s="17"/>
      <c r="B41" s="17"/>
      <c r="C41" s="17"/>
      <c r="D41" s="17"/>
      <c r="E41" s="17"/>
      <c r="F41" s="17"/>
      <c r="G41" s="17"/>
      <c r="H41" s="17"/>
    </row>
    <row r="42" spans="1:8" ht="15.75" customHeight="1" x14ac:dyDescent="0.25">
      <c r="A42" s="17"/>
      <c r="B42" s="17"/>
      <c r="C42" s="17"/>
      <c r="D42" s="17"/>
      <c r="E42" s="17"/>
      <c r="F42" s="17"/>
      <c r="G42" s="17"/>
      <c r="H42" s="17"/>
    </row>
    <row r="43" spans="1:8" ht="15.75" customHeight="1" x14ac:dyDescent="0.25">
      <c r="A43" s="17"/>
      <c r="B43" s="17"/>
      <c r="C43" s="17"/>
      <c r="D43" s="17"/>
      <c r="E43" s="17"/>
      <c r="F43" s="17"/>
      <c r="G43" s="17"/>
      <c r="H43" s="17"/>
    </row>
    <row r="44" spans="1:8" ht="15.75" customHeight="1" x14ac:dyDescent="0.25">
      <c r="A44" s="17"/>
      <c r="B44" s="17"/>
      <c r="C44" s="17"/>
      <c r="D44" s="17"/>
      <c r="E44" s="17"/>
      <c r="F44" s="17"/>
      <c r="G44" s="17"/>
      <c r="H44" s="17"/>
    </row>
    <row r="45" spans="1:8" ht="15.75" customHeight="1" x14ac:dyDescent="0.25">
      <c r="A45" s="17"/>
      <c r="B45" s="17"/>
      <c r="C45" s="17"/>
      <c r="D45" s="17"/>
      <c r="E45" s="17"/>
      <c r="F45" s="17"/>
      <c r="G45" s="17"/>
      <c r="H45" s="17"/>
    </row>
    <row r="46" spans="1:8" ht="15.75" customHeight="1" x14ac:dyDescent="0.25">
      <c r="A46" s="17"/>
      <c r="B46" s="17"/>
      <c r="C46" s="17"/>
      <c r="D46" s="17"/>
      <c r="E46" s="17"/>
      <c r="F46" s="17"/>
      <c r="G46" s="17"/>
      <c r="H46" s="17"/>
    </row>
    <row r="47" spans="1:8" ht="15.75" customHeight="1" x14ac:dyDescent="0.25">
      <c r="A47" s="17"/>
      <c r="B47" s="17"/>
      <c r="C47" s="17"/>
      <c r="D47" s="17"/>
      <c r="E47" s="17"/>
      <c r="F47" s="17"/>
      <c r="G47" s="17"/>
      <c r="H47" s="17"/>
    </row>
    <row r="48" spans="1:8" ht="15.75" customHeight="1" x14ac:dyDescent="0.25">
      <c r="A48" s="17"/>
      <c r="B48" s="17"/>
      <c r="C48" s="17"/>
      <c r="D48" s="17"/>
      <c r="E48" s="17"/>
      <c r="F48" s="17"/>
      <c r="G48" s="17"/>
      <c r="H48" s="17"/>
    </row>
    <row r="49" spans="1:8" ht="15.75" customHeight="1" x14ac:dyDescent="0.25">
      <c r="A49" s="17"/>
      <c r="B49" s="17"/>
      <c r="C49" s="17"/>
      <c r="D49" s="17"/>
      <c r="E49" s="17"/>
      <c r="F49" s="17"/>
      <c r="G49" s="17"/>
      <c r="H49" s="17"/>
    </row>
    <row r="50" spans="1:8" ht="15.75" customHeight="1" x14ac:dyDescent="0.25">
      <c r="A50" s="17"/>
      <c r="B50" s="17"/>
      <c r="C50" s="17"/>
      <c r="D50" s="17"/>
      <c r="E50" s="17"/>
      <c r="F50" s="17"/>
      <c r="G50" s="17"/>
      <c r="H50" s="17"/>
    </row>
    <row r="51" spans="1:8" ht="15.75" customHeight="1" x14ac:dyDescent="0.25">
      <c r="A51" s="17"/>
      <c r="B51" s="17"/>
      <c r="C51" s="17"/>
      <c r="D51" s="17"/>
      <c r="E51" s="17"/>
      <c r="F51" s="17"/>
      <c r="G51" s="17"/>
      <c r="H51" s="17"/>
    </row>
    <row r="52" spans="1:8" ht="15.75" customHeight="1" x14ac:dyDescent="0.25">
      <c r="A52" s="17"/>
      <c r="B52" s="17"/>
      <c r="C52" s="17"/>
      <c r="D52" s="17"/>
      <c r="E52" s="17"/>
      <c r="F52" s="17"/>
      <c r="G52" s="17"/>
      <c r="H52" s="17"/>
    </row>
    <row r="53" spans="1:8" ht="15.75" customHeight="1" x14ac:dyDescent="0.25">
      <c r="A53" s="17"/>
      <c r="B53" s="17"/>
      <c r="C53" s="17"/>
      <c r="D53" s="17"/>
      <c r="E53" s="17"/>
      <c r="F53" s="17"/>
      <c r="G53" s="17"/>
      <c r="H53" s="17"/>
    </row>
    <row r="54" spans="1:8" ht="15.75" customHeight="1" x14ac:dyDescent="0.25">
      <c r="A54" s="17"/>
      <c r="B54" s="17"/>
      <c r="C54" s="17"/>
      <c r="D54" s="17"/>
      <c r="E54" s="17"/>
      <c r="F54" s="17"/>
      <c r="G54" s="17"/>
      <c r="H54" s="17"/>
    </row>
    <row r="55" spans="1:8" ht="15.75" customHeight="1" x14ac:dyDescent="0.25">
      <c r="A55" s="17"/>
      <c r="B55" s="17"/>
      <c r="C55" s="17"/>
      <c r="D55" s="17"/>
      <c r="E55" s="17"/>
      <c r="F55" s="17"/>
      <c r="G55" s="17"/>
      <c r="H55" s="17"/>
    </row>
    <row r="56" spans="1:8" ht="15.75" customHeight="1" x14ac:dyDescent="0.25">
      <c r="A56" s="17"/>
      <c r="B56" s="17"/>
      <c r="C56" s="17"/>
      <c r="D56" s="17"/>
      <c r="E56" s="17"/>
      <c r="F56" s="17"/>
      <c r="G56" s="17"/>
      <c r="H56" s="17"/>
    </row>
    <row r="57" spans="1:8" ht="15.75" customHeight="1" x14ac:dyDescent="0.25">
      <c r="A57" s="17"/>
      <c r="B57" s="17"/>
      <c r="C57" s="17"/>
      <c r="D57" s="17"/>
      <c r="E57" s="17"/>
      <c r="F57" s="17"/>
      <c r="G57" s="17"/>
      <c r="H57" s="17"/>
    </row>
    <row r="58" spans="1:8" ht="15.75" customHeight="1" x14ac:dyDescent="0.25">
      <c r="A58" s="17"/>
      <c r="B58" s="17"/>
      <c r="C58" s="17"/>
      <c r="D58" s="17"/>
      <c r="E58" s="17"/>
      <c r="F58" s="17"/>
      <c r="G58" s="17"/>
      <c r="H58" s="17"/>
    </row>
    <row r="59" spans="1:8" ht="15.75" customHeight="1" x14ac:dyDescent="0.25">
      <c r="A59" s="17"/>
      <c r="B59" s="17"/>
      <c r="C59" s="17"/>
      <c r="D59" s="17"/>
      <c r="E59" s="17"/>
      <c r="F59" s="17"/>
      <c r="G59" s="17"/>
      <c r="H59" s="17"/>
    </row>
    <row r="60" spans="1:8" ht="15.75" customHeight="1" x14ac:dyDescent="0.25">
      <c r="A60" s="17"/>
      <c r="B60" s="17"/>
      <c r="C60" s="17"/>
      <c r="D60" s="17"/>
      <c r="E60" s="17"/>
      <c r="F60" s="17"/>
      <c r="G60" s="17"/>
      <c r="H60" s="17"/>
    </row>
    <row r="61" spans="1:8" ht="15.75" customHeight="1" x14ac:dyDescent="0.25">
      <c r="A61" s="17"/>
      <c r="B61" s="17"/>
      <c r="C61" s="17"/>
      <c r="D61" s="17"/>
      <c r="E61" s="17"/>
      <c r="F61" s="17"/>
      <c r="G61" s="17"/>
      <c r="H61" s="17"/>
    </row>
    <row r="62" spans="1:8" ht="15.75" customHeight="1" x14ac:dyDescent="0.25">
      <c r="A62" s="17"/>
      <c r="B62" s="17"/>
      <c r="C62" s="17"/>
      <c r="D62" s="17"/>
      <c r="E62" s="17"/>
      <c r="F62" s="17"/>
      <c r="G62" s="17"/>
      <c r="H62" s="17"/>
    </row>
    <row r="63" spans="1:8" ht="15.75" customHeight="1" x14ac:dyDescent="0.25">
      <c r="A63" s="17"/>
      <c r="B63" s="17"/>
      <c r="C63" s="17"/>
      <c r="D63" s="17"/>
      <c r="E63" s="17"/>
      <c r="F63" s="17"/>
      <c r="G63" s="17"/>
      <c r="H63" s="17"/>
    </row>
    <row r="64" spans="1:8" ht="15.75" customHeight="1" x14ac:dyDescent="0.25">
      <c r="A64" s="17"/>
      <c r="B64" s="17"/>
      <c r="C64" s="17"/>
      <c r="D64" s="17"/>
      <c r="E64" s="17"/>
      <c r="F64" s="17"/>
      <c r="G64" s="17"/>
      <c r="H64" s="17"/>
    </row>
    <row r="65" spans="1:8" ht="15.75" customHeight="1" x14ac:dyDescent="0.25">
      <c r="A65" s="17"/>
      <c r="B65" s="17"/>
      <c r="C65" s="17"/>
      <c r="D65" s="17"/>
      <c r="E65" s="17"/>
      <c r="F65" s="17"/>
      <c r="G65" s="17"/>
      <c r="H65" s="17"/>
    </row>
    <row r="66" spans="1:8" ht="15.75" customHeight="1" x14ac:dyDescent="0.25">
      <c r="A66" s="17"/>
      <c r="B66" s="17"/>
      <c r="C66" s="17"/>
      <c r="D66" s="17"/>
      <c r="E66" s="17"/>
      <c r="F66" s="17"/>
      <c r="G66" s="17"/>
      <c r="H66" s="17"/>
    </row>
    <row r="67" spans="1:8" ht="15.75" customHeight="1" x14ac:dyDescent="0.25">
      <c r="A67" s="17"/>
      <c r="B67" s="17"/>
      <c r="C67" s="17"/>
      <c r="D67" s="17"/>
      <c r="E67" s="17"/>
      <c r="F67" s="17"/>
      <c r="G67" s="17"/>
      <c r="H67" s="17"/>
    </row>
    <row r="68" spans="1:8" ht="15.75" customHeight="1" x14ac:dyDescent="0.25">
      <c r="A68" s="17"/>
      <c r="B68" s="17"/>
      <c r="C68" s="17"/>
      <c r="D68" s="17"/>
      <c r="E68" s="17"/>
      <c r="F68" s="17"/>
      <c r="G68" s="17"/>
      <c r="H68" s="17"/>
    </row>
    <row r="69" spans="1:8" ht="15.75" customHeight="1" x14ac:dyDescent="0.25">
      <c r="A69" s="17"/>
      <c r="B69" s="17"/>
      <c r="C69" s="17"/>
      <c r="D69" s="17"/>
      <c r="E69" s="17"/>
      <c r="F69" s="17"/>
      <c r="G69" s="17"/>
      <c r="H69" s="17"/>
    </row>
    <row r="70" spans="1:8" ht="15.75" customHeight="1" x14ac:dyDescent="0.25">
      <c r="A70" s="17"/>
      <c r="B70" s="17"/>
      <c r="C70" s="17"/>
      <c r="D70" s="17"/>
      <c r="E70" s="17"/>
      <c r="F70" s="17"/>
      <c r="G70" s="17"/>
      <c r="H70" s="17"/>
    </row>
    <row r="71" spans="1:8" ht="15.75" customHeight="1" x14ac:dyDescent="0.25">
      <c r="A71" s="17"/>
      <c r="B71" s="17"/>
      <c r="C71" s="17"/>
      <c r="D71" s="17"/>
      <c r="E71" s="17"/>
      <c r="F71" s="17"/>
      <c r="G71" s="17"/>
      <c r="H71" s="17"/>
    </row>
    <row r="72" spans="1:8" ht="15.75" customHeight="1" x14ac:dyDescent="0.25">
      <c r="A72" s="17"/>
      <c r="B72" s="17"/>
      <c r="C72" s="17"/>
      <c r="D72" s="17"/>
      <c r="E72" s="17"/>
      <c r="F72" s="17"/>
      <c r="G72" s="17"/>
      <c r="H72" s="17"/>
    </row>
    <row r="73" spans="1:8" ht="15.75" customHeight="1" x14ac:dyDescent="0.25">
      <c r="A73" s="17"/>
      <c r="B73" s="17"/>
      <c r="C73" s="17"/>
      <c r="D73" s="17"/>
      <c r="E73" s="17"/>
      <c r="F73" s="17"/>
      <c r="G73" s="17"/>
      <c r="H73" s="17"/>
    </row>
    <row r="74" spans="1:8" ht="15.75" customHeight="1" x14ac:dyDescent="0.25">
      <c r="A74" s="17"/>
      <c r="B74" s="17"/>
      <c r="C74" s="17"/>
      <c r="D74" s="17"/>
      <c r="E74" s="17"/>
      <c r="F74" s="17"/>
      <c r="G74" s="17"/>
      <c r="H74" s="17"/>
    </row>
    <row r="75" spans="1:8" ht="15.75" customHeight="1" x14ac:dyDescent="0.25">
      <c r="A75" s="17"/>
      <c r="B75" s="17"/>
      <c r="C75" s="17"/>
      <c r="D75" s="17"/>
      <c r="E75" s="17"/>
      <c r="F75" s="17"/>
      <c r="G75" s="17"/>
      <c r="H75" s="17"/>
    </row>
    <row r="76" spans="1:8" ht="15.75" customHeight="1" x14ac:dyDescent="0.25">
      <c r="A76" s="17"/>
      <c r="B76" s="17"/>
      <c r="C76" s="17"/>
      <c r="D76" s="17"/>
      <c r="E76" s="17"/>
      <c r="F76" s="17"/>
      <c r="G76" s="17"/>
      <c r="H76" s="17"/>
    </row>
    <row r="77" spans="1:8" ht="15.75" customHeight="1" x14ac:dyDescent="0.25">
      <c r="A77" s="17"/>
      <c r="B77" s="17"/>
      <c r="C77" s="17"/>
      <c r="D77" s="17"/>
      <c r="E77" s="17"/>
      <c r="F77" s="17"/>
      <c r="G77" s="17"/>
      <c r="H77" s="17"/>
    </row>
    <row r="78" spans="1:8" ht="15.75" customHeight="1" x14ac:dyDescent="0.25">
      <c r="A78" s="17"/>
      <c r="B78" s="17"/>
      <c r="C78" s="17"/>
      <c r="D78" s="17"/>
      <c r="E78" s="17"/>
      <c r="F78" s="17"/>
      <c r="G78" s="17"/>
      <c r="H78" s="17"/>
    </row>
    <row r="79" spans="1:8" ht="15.75" customHeight="1" x14ac:dyDescent="0.25">
      <c r="A79" s="17"/>
      <c r="B79" s="17"/>
      <c r="C79" s="17"/>
      <c r="D79" s="17"/>
      <c r="E79" s="17"/>
      <c r="F79" s="17"/>
      <c r="G79" s="17"/>
      <c r="H79" s="17"/>
    </row>
    <row r="80" spans="1:8" ht="15.75" customHeight="1" x14ac:dyDescent="0.25">
      <c r="A80" s="17"/>
      <c r="B80" s="17"/>
      <c r="C80" s="17"/>
      <c r="D80" s="17"/>
      <c r="E80" s="17"/>
      <c r="F80" s="17"/>
      <c r="G80" s="17"/>
      <c r="H80" s="17"/>
    </row>
    <row r="81" spans="1:8" ht="15.75" customHeight="1" x14ac:dyDescent="0.25">
      <c r="A81" s="17"/>
      <c r="B81" s="17"/>
      <c r="C81" s="17"/>
      <c r="D81" s="17"/>
      <c r="E81" s="17"/>
      <c r="F81" s="17"/>
      <c r="G81" s="17"/>
      <c r="H81" s="17"/>
    </row>
    <row r="82" spans="1:8" ht="15.75" customHeight="1" x14ac:dyDescent="0.25">
      <c r="A82" s="17"/>
      <c r="B82" s="17"/>
      <c r="C82" s="17"/>
      <c r="D82" s="17"/>
      <c r="E82" s="17"/>
      <c r="F82" s="17"/>
      <c r="G82" s="17"/>
      <c r="H82" s="17"/>
    </row>
    <row r="83" spans="1:8" ht="15.75" customHeight="1" x14ac:dyDescent="0.25">
      <c r="A83" s="17"/>
      <c r="B83" s="17"/>
      <c r="C83" s="17"/>
      <c r="D83" s="17"/>
      <c r="E83" s="17"/>
      <c r="F83" s="17"/>
      <c r="G83" s="17"/>
      <c r="H83" s="17"/>
    </row>
    <row r="84" spans="1:8" ht="15.75" customHeight="1" x14ac:dyDescent="0.25">
      <c r="A84" s="17"/>
      <c r="B84" s="17"/>
      <c r="C84" s="17"/>
      <c r="D84" s="17"/>
      <c r="E84" s="17"/>
      <c r="F84" s="17"/>
      <c r="G84" s="17"/>
      <c r="H84" s="17"/>
    </row>
    <row r="85" spans="1:8" ht="15.75" customHeight="1" x14ac:dyDescent="0.25">
      <c r="A85" s="17"/>
      <c r="B85" s="17"/>
      <c r="C85" s="17"/>
      <c r="D85" s="17"/>
      <c r="E85" s="17"/>
      <c r="F85" s="17"/>
      <c r="G85" s="17"/>
      <c r="H85" s="17"/>
    </row>
    <row r="86" spans="1:8" ht="15.75" customHeight="1" x14ac:dyDescent="0.25">
      <c r="A86" s="17"/>
      <c r="B86" s="17"/>
      <c r="C86" s="17"/>
      <c r="D86" s="17"/>
      <c r="E86" s="17"/>
      <c r="F86" s="17"/>
      <c r="G86" s="17"/>
      <c r="H86" s="17"/>
    </row>
    <row r="87" spans="1:8" ht="15.75" customHeight="1" x14ac:dyDescent="0.25">
      <c r="A87" s="17"/>
      <c r="B87" s="17"/>
      <c r="C87" s="17"/>
      <c r="D87" s="17"/>
      <c r="E87" s="17"/>
      <c r="F87" s="17"/>
      <c r="G87" s="17"/>
      <c r="H87" s="17"/>
    </row>
    <row r="88" spans="1:8" ht="15.75" customHeight="1" x14ac:dyDescent="0.25">
      <c r="A88" s="17"/>
      <c r="B88" s="17"/>
      <c r="C88" s="17"/>
      <c r="D88" s="17"/>
      <c r="E88" s="17"/>
      <c r="F88" s="17"/>
      <c r="G88" s="17"/>
      <c r="H88" s="17"/>
    </row>
    <row r="89" spans="1:8" ht="15.75" customHeight="1" x14ac:dyDescent="0.25">
      <c r="A89" s="17"/>
      <c r="B89" s="17"/>
      <c r="C89" s="17"/>
      <c r="D89" s="17"/>
      <c r="E89" s="17"/>
      <c r="F89" s="17"/>
      <c r="G89" s="17"/>
      <c r="H89" s="17"/>
    </row>
    <row r="90" spans="1:8" ht="15.75" customHeight="1" x14ac:dyDescent="0.25">
      <c r="A90" s="17"/>
      <c r="B90" s="17"/>
      <c r="C90" s="17"/>
      <c r="D90" s="17"/>
      <c r="E90" s="17"/>
      <c r="F90" s="17"/>
      <c r="G90" s="17"/>
      <c r="H90" s="17"/>
    </row>
    <row r="91" spans="1:8" ht="15.75" customHeight="1" x14ac:dyDescent="0.25">
      <c r="A91" s="17"/>
      <c r="B91" s="17"/>
      <c r="C91" s="17"/>
      <c r="D91" s="17"/>
      <c r="E91" s="17"/>
      <c r="F91" s="17"/>
      <c r="G91" s="17"/>
      <c r="H91" s="17"/>
    </row>
    <row r="92" spans="1:8" ht="15.75" customHeight="1" x14ac:dyDescent="0.25">
      <c r="A92" s="17"/>
      <c r="B92" s="17"/>
      <c r="C92" s="17"/>
      <c r="D92" s="17"/>
      <c r="E92" s="17"/>
      <c r="F92" s="17"/>
      <c r="G92" s="17"/>
      <c r="H92" s="17"/>
    </row>
    <row r="93" spans="1:8" ht="15.75" customHeight="1" x14ac:dyDescent="0.25">
      <c r="A93" s="17"/>
      <c r="B93" s="17"/>
      <c r="C93" s="17"/>
      <c r="D93" s="17"/>
      <c r="E93" s="17"/>
      <c r="F93" s="17"/>
      <c r="G93" s="17"/>
      <c r="H93" s="17"/>
    </row>
    <row r="94" spans="1:8" ht="15.75" customHeight="1" x14ac:dyDescent="0.25">
      <c r="A94" s="17"/>
      <c r="B94" s="17"/>
      <c r="C94" s="17"/>
      <c r="D94" s="17"/>
      <c r="E94" s="17"/>
      <c r="F94" s="17"/>
      <c r="G94" s="17"/>
      <c r="H94" s="17"/>
    </row>
    <row r="95" spans="1:8" ht="15.75" customHeight="1" x14ac:dyDescent="0.25">
      <c r="A95" s="17"/>
      <c r="B95" s="17"/>
      <c r="C95" s="17"/>
      <c r="D95" s="17"/>
      <c r="E95" s="17"/>
      <c r="F95" s="17"/>
      <c r="G95" s="17"/>
      <c r="H95" s="17"/>
    </row>
    <row r="96" spans="1:8" ht="15.75" customHeight="1" x14ac:dyDescent="0.25">
      <c r="A96" s="17"/>
      <c r="B96" s="17"/>
      <c r="C96" s="17"/>
      <c r="D96" s="17"/>
      <c r="E96" s="17"/>
      <c r="F96" s="17"/>
      <c r="G96" s="17"/>
      <c r="H96" s="17"/>
    </row>
    <row r="97" spans="1:8" ht="15.75" customHeight="1" x14ac:dyDescent="0.25">
      <c r="A97" s="17"/>
      <c r="B97" s="17"/>
      <c r="C97" s="17"/>
      <c r="D97" s="17"/>
      <c r="E97" s="17"/>
      <c r="F97" s="17"/>
      <c r="G97" s="17"/>
      <c r="H97" s="17"/>
    </row>
    <row r="98" spans="1:8" ht="15.75" customHeight="1" x14ac:dyDescent="0.25">
      <c r="A98" s="17"/>
      <c r="B98" s="17"/>
      <c r="C98" s="17"/>
      <c r="D98" s="17"/>
      <c r="E98" s="17"/>
      <c r="F98" s="17"/>
      <c r="G98" s="17"/>
      <c r="H98" s="17"/>
    </row>
    <row r="99" spans="1:8" ht="15.75" customHeight="1" x14ac:dyDescent="0.25">
      <c r="A99" s="17"/>
      <c r="B99" s="17"/>
      <c r="C99" s="17"/>
      <c r="D99" s="17"/>
      <c r="E99" s="17"/>
      <c r="F99" s="17"/>
      <c r="G99" s="17"/>
      <c r="H99" s="17"/>
    </row>
    <row r="100" spans="1:8" ht="15.75" customHeight="1" x14ac:dyDescent="0.25">
      <c r="A100" s="17"/>
      <c r="B100" s="17"/>
      <c r="C100" s="17"/>
      <c r="D100" s="17"/>
      <c r="E100" s="17"/>
      <c r="F100" s="17"/>
      <c r="G100" s="17"/>
      <c r="H100" s="17"/>
    </row>
  </sheetData>
  <mergeCells count="19">
    <mergeCell ref="A1:H1"/>
    <mergeCell ref="A2:B2"/>
    <mergeCell ref="C2:D2"/>
    <mergeCell ref="E2:F2"/>
    <mergeCell ref="G2:H2"/>
    <mergeCell ref="A5:H5"/>
    <mergeCell ref="A31:D31"/>
    <mergeCell ref="A32:D32"/>
    <mergeCell ref="A33:D33"/>
    <mergeCell ref="C3:D3"/>
    <mergeCell ref="A16:D16"/>
    <mergeCell ref="A17:D17"/>
    <mergeCell ref="A18:D18"/>
    <mergeCell ref="A20:H20"/>
    <mergeCell ref="A28:D28"/>
    <mergeCell ref="A30:H30"/>
    <mergeCell ref="E3:F3"/>
    <mergeCell ref="G3:H3"/>
    <mergeCell ref="A3:B3"/>
  </mergeCells>
  <pageMargins left="0.75" right="0.75" top="1" bottom="1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5A623"/>
  </sheetPr>
  <dimension ref="A1:H100"/>
  <sheetViews>
    <sheetView workbookViewId="0">
      <pane ySplit="3" topLeftCell="A4" activePane="bottomLeft" state="frozen"/>
      <selection pane="bottomLeft" activeCell="B26" sqref="B26"/>
    </sheetView>
  </sheetViews>
  <sheetFormatPr defaultColWidth="14.42578125" defaultRowHeight="15" customHeight="1" x14ac:dyDescent="0.25"/>
  <cols>
    <col min="1" max="1" width="10" customWidth="1"/>
    <col min="2" max="2" width="26" customWidth="1"/>
    <col min="3" max="7" width="16" customWidth="1"/>
    <col min="8" max="8" width="20" customWidth="1"/>
  </cols>
  <sheetData>
    <row r="1" spans="1:8" ht="27.75" customHeight="1" x14ac:dyDescent="0.25">
      <c r="A1" s="163" t="s">
        <v>156</v>
      </c>
      <c r="B1" s="146"/>
      <c r="C1" s="146"/>
      <c r="D1" s="146"/>
      <c r="E1" s="146"/>
      <c r="F1" s="146"/>
      <c r="G1" s="146"/>
      <c r="H1" s="147"/>
    </row>
    <row r="2" spans="1:8" ht="18" customHeight="1" x14ac:dyDescent="0.25">
      <c r="A2" s="164" t="s">
        <v>34</v>
      </c>
      <c r="B2" s="147"/>
      <c r="C2" s="164" t="s">
        <v>35</v>
      </c>
      <c r="D2" s="147"/>
      <c r="E2" s="164" t="s">
        <v>36</v>
      </c>
      <c r="F2" s="147"/>
      <c r="G2" s="164" t="s">
        <v>37</v>
      </c>
      <c r="H2" s="147"/>
    </row>
    <row r="3" spans="1:8" ht="21.75" customHeight="1" x14ac:dyDescent="0.25">
      <c r="A3" s="162">
        <f>E29</f>
        <v>5000</v>
      </c>
      <c r="B3" s="147"/>
      <c r="C3" s="154">
        <f>E19</f>
        <v>1084</v>
      </c>
      <c r="D3" s="147"/>
      <c r="E3" s="160">
        <f>E29-E19</f>
        <v>3916</v>
      </c>
      <c r="F3" s="147"/>
      <c r="G3" s="161">
        <f>IF(E29&gt;0,(E29-E19)/E29,0)</f>
        <v>0.78320000000000001</v>
      </c>
      <c r="H3" s="147"/>
    </row>
    <row r="4" spans="1:8" ht="14.25" customHeight="1" x14ac:dyDescent="0.25">
      <c r="A4" s="17"/>
      <c r="B4" s="17"/>
      <c r="C4" s="17"/>
      <c r="D4" s="17"/>
      <c r="E4" s="17"/>
      <c r="F4" s="17"/>
      <c r="G4" s="17"/>
      <c r="H4" s="17"/>
    </row>
    <row r="5" spans="1:8" ht="19.5" customHeight="1" x14ac:dyDescent="0.25">
      <c r="A5" s="150" t="s">
        <v>157</v>
      </c>
      <c r="B5" s="146"/>
      <c r="C5" s="146"/>
      <c r="D5" s="146"/>
      <c r="E5" s="146"/>
      <c r="F5" s="146"/>
      <c r="G5" s="146"/>
      <c r="H5" s="147"/>
    </row>
    <row r="6" spans="1:8" ht="15" customHeight="1" x14ac:dyDescent="0.25">
      <c r="A6" s="36" t="s">
        <v>22</v>
      </c>
      <c r="B6" s="36" t="s">
        <v>39</v>
      </c>
      <c r="C6" s="36" t="s">
        <v>40</v>
      </c>
      <c r="D6" s="36" t="s">
        <v>41</v>
      </c>
      <c r="E6" s="36" t="s">
        <v>42</v>
      </c>
      <c r="F6" s="36" t="s">
        <v>43</v>
      </c>
      <c r="G6" s="36" t="s">
        <v>44</v>
      </c>
      <c r="H6" s="36"/>
    </row>
    <row r="7" spans="1:8" ht="15" customHeight="1" x14ac:dyDescent="0.25">
      <c r="A7" s="37"/>
      <c r="B7" s="38"/>
      <c r="C7" s="62"/>
      <c r="D7" s="37"/>
      <c r="E7" s="39"/>
      <c r="F7" s="37"/>
      <c r="G7" s="37"/>
      <c r="H7" s="37"/>
    </row>
    <row r="8" spans="1:8" ht="15" customHeight="1" x14ac:dyDescent="0.25">
      <c r="A8" s="75"/>
      <c r="B8" s="38"/>
      <c r="C8" s="106"/>
      <c r="D8" s="37"/>
      <c r="E8" s="39"/>
      <c r="F8" s="40"/>
      <c r="G8" s="40"/>
      <c r="H8" s="40"/>
    </row>
    <row r="9" spans="1:8" ht="15" customHeight="1" x14ac:dyDescent="0.25">
      <c r="A9" s="61">
        <v>46419</v>
      </c>
      <c r="B9" s="41" t="s">
        <v>49</v>
      </c>
      <c r="C9" s="63"/>
      <c r="D9" s="40" t="s">
        <v>50</v>
      </c>
      <c r="E9" s="42">
        <v>216</v>
      </c>
      <c r="F9" s="37"/>
      <c r="G9" s="37"/>
      <c r="H9" s="37"/>
    </row>
    <row r="10" spans="1:8" ht="15" customHeight="1" x14ac:dyDescent="0.25">
      <c r="A10" s="75">
        <v>46419</v>
      </c>
      <c r="B10" s="38" t="s">
        <v>51</v>
      </c>
      <c r="C10" s="62"/>
      <c r="D10" s="37" t="s">
        <v>50</v>
      </c>
      <c r="E10" s="39">
        <v>230</v>
      </c>
      <c r="F10" s="40"/>
      <c r="G10" s="40"/>
      <c r="H10" s="40"/>
    </row>
    <row r="11" spans="1:8" ht="15" customHeight="1" x14ac:dyDescent="0.25">
      <c r="A11" s="61">
        <v>46419</v>
      </c>
      <c r="B11" s="41" t="s">
        <v>52</v>
      </c>
      <c r="C11" s="63"/>
      <c r="D11" s="40" t="s">
        <v>50</v>
      </c>
      <c r="E11" s="42">
        <v>95</v>
      </c>
      <c r="F11" s="37"/>
      <c r="G11" s="37"/>
      <c r="H11" s="37"/>
    </row>
    <row r="12" spans="1:8" ht="15" customHeight="1" x14ac:dyDescent="0.25">
      <c r="A12" s="75">
        <v>46419</v>
      </c>
      <c r="B12" s="38" t="s">
        <v>53</v>
      </c>
      <c r="C12" s="62"/>
      <c r="D12" s="37" t="s">
        <v>50</v>
      </c>
      <c r="E12" s="39">
        <v>120</v>
      </c>
      <c r="F12" s="40"/>
      <c r="G12" s="40"/>
      <c r="H12" s="40"/>
    </row>
    <row r="13" spans="1:8" ht="15" customHeight="1" x14ac:dyDescent="0.25">
      <c r="A13" s="61">
        <v>46419</v>
      </c>
      <c r="B13" s="41" t="s">
        <v>54</v>
      </c>
      <c r="C13" s="63"/>
      <c r="D13" s="40" t="s">
        <v>50</v>
      </c>
      <c r="E13" s="42">
        <v>288</v>
      </c>
      <c r="F13" s="37"/>
      <c r="G13" s="37"/>
      <c r="H13" s="37"/>
    </row>
    <row r="14" spans="1:8" ht="15" customHeight="1" x14ac:dyDescent="0.25">
      <c r="A14" s="108">
        <v>46419</v>
      </c>
      <c r="B14" s="38" t="s">
        <v>55</v>
      </c>
      <c r="C14" s="62"/>
      <c r="D14" s="37" t="s">
        <v>50</v>
      </c>
      <c r="E14" s="39">
        <v>135</v>
      </c>
      <c r="F14" s="31"/>
      <c r="G14" s="31"/>
      <c r="H14" s="31"/>
    </row>
    <row r="15" spans="1:8" ht="15" customHeight="1" x14ac:dyDescent="0.25">
      <c r="A15" s="40"/>
      <c r="B15" s="40"/>
      <c r="C15" s="31"/>
      <c r="D15" s="40"/>
      <c r="E15" s="107"/>
      <c r="F15" s="31"/>
      <c r="G15" s="40"/>
      <c r="H15" s="31"/>
    </row>
    <row r="16" spans="1:8" ht="15" customHeight="1" x14ac:dyDescent="0.25">
      <c r="A16" s="31"/>
      <c r="B16" s="31"/>
      <c r="C16" s="31"/>
      <c r="D16" s="31"/>
      <c r="E16" s="29"/>
      <c r="F16" s="31"/>
      <c r="G16" s="31"/>
      <c r="H16" s="31"/>
    </row>
    <row r="17" spans="1:8" ht="15" customHeight="1" x14ac:dyDescent="0.25">
      <c r="A17" s="155" t="s">
        <v>56</v>
      </c>
      <c r="B17" s="152"/>
      <c r="C17" s="152"/>
      <c r="D17" s="153"/>
      <c r="E17" s="43">
        <f>SUM(E7:E16)</f>
        <v>1084</v>
      </c>
      <c r="F17" s="44"/>
      <c r="G17" s="44"/>
      <c r="H17" s="44"/>
    </row>
    <row r="18" spans="1:8" ht="15" customHeight="1" x14ac:dyDescent="0.25">
      <c r="A18" s="156" t="s">
        <v>57</v>
      </c>
      <c r="B18" s="152"/>
      <c r="C18" s="152"/>
      <c r="D18" s="153"/>
      <c r="E18" s="45"/>
      <c r="F18" s="44"/>
      <c r="G18" s="44"/>
      <c r="H18" s="44"/>
    </row>
    <row r="19" spans="1:8" ht="15" customHeight="1" x14ac:dyDescent="0.25">
      <c r="A19" s="157" t="s">
        <v>58</v>
      </c>
      <c r="B19" s="152"/>
      <c r="C19" s="152"/>
      <c r="D19" s="153"/>
      <c r="E19" s="46">
        <f>E17+E18</f>
        <v>1084</v>
      </c>
      <c r="F19" s="47"/>
      <c r="G19" s="47"/>
      <c r="H19" s="47"/>
    </row>
    <row r="20" spans="1:8" ht="14.25" customHeight="1" x14ac:dyDescent="0.25">
      <c r="A20" s="17"/>
      <c r="B20" s="17"/>
      <c r="C20" s="17"/>
      <c r="D20" s="17"/>
      <c r="E20" s="17"/>
      <c r="F20" s="17"/>
      <c r="G20" s="17"/>
      <c r="H20" s="17"/>
    </row>
    <row r="21" spans="1:8" ht="19.5" customHeight="1" x14ac:dyDescent="0.25">
      <c r="A21" s="158" t="s">
        <v>158</v>
      </c>
      <c r="B21" s="146"/>
      <c r="C21" s="146"/>
      <c r="D21" s="146"/>
      <c r="E21" s="146"/>
      <c r="F21" s="146"/>
      <c r="G21" s="146"/>
      <c r="H21" s="147"/>
    </row>
    <row r="22" spans="1:8" ht="15" customHeight="1" x14ac:dyDescent="0.25">
      <c r="A22" s="48" t="s">
        <v>22</v>
      </c>
      <c r="B22" s="48" t="s">
        <v>39</v>
      </c>
      <c r="C22" s="48" t="s">
        <v>40</v>
      </c>
      <c r="D22" s="48" t="s">
        <v>41</v>
      </c>
      <c r="E22" s="48" t="s">
        <v>42</v>
      </c>
      <c r="F22" s="48" t="s">
        <v>60</v>
      </c>
      <c r="G22" s="48" t="s">
        <v>44</v>
      </c>
      <c r="H22" s="48"/>
    </row>
    <row r="23" spans="1:8" ht="15" customHeight="1" x14ac:dyDescent="0.25">
      <c r="A23" s="49" t="s">
        <v>159</v>
      </c>
      <c r="B23" s="50"/>
      <c r="C23" s="49"/>
      <c r="D23" s="49"/>
      <c r="E23" s="51"/>
      <c r="F23" s="49"/>
      <c r="G23" s="49"/>
      <c r="H23" s="49"/>
    </row>
    <row r="24" spans="1:8" ht="15" customHeight="1" x14ac:dyDescent="0.25">
      <c r="A24" s="52" t="s">
        <v>159</v>
      </c>
      <c r="B24" s="53" t="s">
        <v>409</v>
      </c>
      <c r="C24" s="52" t="s">
        <v>62</v>
      </c>
      <c r="D24" s="52" t="s">
        <v>50</v>
      </c>
      <c r="E24" s="54">
        <v>2800</v>
      </c>
      <c r="F24" s="52"/>
      <c r="G24" s="52"/>
      <c r="H24" s="52"/>
    </row>
    <row r="25" spans="1:8" ht="15" customHeight="1" x14ac:dyDescent="0.25">
      <c r="A25" s="49" t="s">
        <v>159</v>
      </c>
      <c r="B25" s="50" t="s">
        <v>410</v>
      </c>
      <c r="C25" s="49" t="s">
        <v>62</v>
      </c>
      <c r="D25" s="49" t="s">
        <v>50</v>
      </c>
      <c r="E25" s="51">
        <v>2200</v>
      </c>
      <c r="F25" s="49"/>
      <c r="G25" s="49"/>
      <c r="H25" s="49"/>
    </row>
    <row r="26" spans="1:8" ht="15" customHeight="1" x14ac:dyDescent="0.25">
      <c r="A26" s="52"/>
      <c r="B26" s="53"/>
      <c r="C26" s="52"/>
      <c r="D26" s="52"/>
      <c r="E26" s="54"/>
      <c r="F26" s="52"/>
      <c r="G26" s="52"/>
      <c r="H26" s="52"/>
    </row>
    <row r="27" spans="1:8" ht="15" customHeight="1" x14ac:dyDescent="0.25">
      <c r="A27" s="55"/>
      <c r="B27" s="55"/>
      <c r="C27" s="55"/>
      <c r="D27" s="55"/>
      <c r="E27" s="56"/>
      <c r="F27" s="55"/>
      <c r="G27" s="55"/>
      <c r="H27" s="55"/>
    </row>
    <row r="28" spans="1:8" ht="15" customHeight="1" x14ac:dyDescent="0.25">
      <c r="A28" s="55"/>
      <c r="B28" s="55"/>
      <c r="C28" s="55"/>
      <c r="D28" s="55"/>
      <c r="E28" s="56"/>
      <c r="F28" s="55"/>
      <c r="G28" s="55"/>
      <c r="H28" s="55"/>
    </row>
    <row r="29" spans="1:8" ht="15" customHeight="1" x14ac:dyDescent="0.25">
      <c r="A29" s="157" t="s">
        <v>66</v>
      </c>
      <c r="B29" s="152"/>
      <c r="C29" s="152"/>
      <c r="D29" s="153"/>
      <c r="E29" s="46">
        <f>SUM(E23:E28)</f>
        <v>5000</v>
      </c>
      <c r="F29" s="47"/>
      <c r="G29" s="47"/>
      <c r="H29" s="47"/>
    </row>
    <row r="30" spans="1:8" ht="15.75" customHeight="1" x14ac:dyDescent="0.25">
      <c r="A30" s="17"/>
      <c r="B30" s="17"/>
      <c r="C30" s="17"/>
      <c r="D30" s="17"/>
      <c r="E30" s="17"/>
      <c r="F30" s="17"/>
      <c r="G30" s="17"/>
      <c r="H30" s="17"/>
    </row>
    <row r="31" spans="1:8" ht="19.5" customHeight="1" x14ac:dyDescent="0.25">
      <c r="A31" s="159" t="s">
        <v>67</v>
      </c>
      <c r="B31" s="146"/>
      <c r="C31" s="146"/>
      <c r="D31" s="146"/>
      <c r="E31" s="146"/>
      <c r="F31" s="146"/>
      <c r="G31" s="146"/>
      <c r="H31" s="147"/>
    </row>
    <row r="32" spans="1:8" ht="15" customHeight="1" x14ac:dyDescent="0.25">
      <c r="A32" s="151" t="s">
        <v>68</v>
      </c>
      <c r="B32" s="152"/>
      <c r="C32" s="152"/>
      <c r="D32" s="153"/>
      <c r="E32" s="57">
        <f>E29-E19</f>
        <v>3916</v>
      </c>
      <c r="F32" s="58"/>
      <c r="G32" s="58"/>
      <c r="H32" s="58"/>
    </row>
    <row r="33" spans="1:8" ht="15" customHeight="1" x14ac:dyDescent="0.25">
      <c r="A33" s="151" t="s">
        <v>76</v>
      </c>
      <c r="B33" s="152"/>
      <c r="C33" s="152"/>
      <c r="D33" s="153"/>
      <c r="E33" s="57">
        <f>0.7*(E29-E19)</f>
        <v>2741.2</v>
      </c>
      <c r="F33" s="58"/>
      <c r="G33" s="58"/>
      <c r="H33" s="58"/>
    </row>
    <row r="34" spans="1:8" ht="15" customHeight="1" x14ac:dyDescent="0.25">
      <c r="A34" s="151" t="s">
        <v>70</v>
      </c>
      <c r="B34" s="152"/>
      <c r="C34" s="152"/>
      <c r="D34" s="153"/>
      <c r="E34" s="57">
        <f>E19/6</f>
        <v>180.66666666666666</v>
      </c>
      <c r="F34" s="58"/>
      <c r="G34" s="58"/>
      <c r="H34" s="58"/>
    </row>
    <row r="35" spans="1:8" ht="15.75" customHeight="1" x14ac:dyDescent="0.25">
      <c r="A35" s="17"/>
      <c r="B35" s="17"/>
      <c r="C35" s="17"/>
      <c r="D35" s="17"/>
      <c r="E35" s="17"/>
      <c r="F35" s="17"/>
      <c r="G35" s="17"/>
      <c r="H35" s="17"/>
    </row>
    <row r="36" spans="1:8" ht="15.75" customHeight="1" x14ac:dyDescent="0.25">
      <c r="A36" s="17"/>
      <c r="B36" s="17"/>
      <c r="C36" s="17"/>
      <c r="D36" s="17"/>
      <c r="E36" s="17"/>
      <c r="F36" s="17"/>
      <c r="G36" s="17"/>
      <c r="H36" s="17"/>
    </row>
    <row r="37" spans="1:8" ht="15.75" customHeight="1" x14ac:dyDescent="0.25">
      <c r="A37" s="17"/>
      <c r="B37" s="17"/>
      <c r="C37" s="17"/>
      <c r="D37" s="17"/>
      <c r="E37" s="17"/>
      <c r="F37" s="17"/>
      <c r="G37" s="17"/>
      <c r="H37" s="17"/>
    </row>
    <row r="38" spans="1:8" ht="15.75" customHeight="1" x14ac:dyDescent="0.25">
      <c r="A38" s="17"/>
      <c r="B38" s="17"/>
      <c r="C38" s="17"/>
      <c r="D38" s="17"/>
      <c r="E38" s="17"/>
      <c r="F38" s="17"/>
      <c r="G38" s="17"/>
      <c r="H38" s="17"/>
    </row>
    <row r="39" spans="1:8" ht="15.75" customHeight="1" x14ac:dyDescent="0.25">
      <c r="A39" s="17"/>
      <c r="B39" s="17"/>
      <c r="C39" s="17"/>
      <c r="D39" s="17"/>
      <c r="E39" s="17"/>
      <c r="F39" s="17"/>
      <c r="G39" s="17"/>
      <c r="H39" s="17"/>
    </row>
    <row r="40" spans="1:8" ht="15.75" customHeight="1" x14ac:dyDescent="0.25">
      <c r="A40" s="17"/>
      <c r="B40" s="17"/>
      <c r="C40" s="17"/>
      <c r="D40" s="17"/>
      <c r="E40" s="17"/>
      <c r="F40" s="17"/>
      <c r="G40" s="17"/>
      <c r="H40" s="17"/>
    </row>
    <row r="41" spans="1:8" ht="15.75" customHeight="1" x14ac:dyDescent="0.25">
      <c r="A41" s="17"/>
      <c r="B41" s="17"/>
      <c r="C41" s="17"/>
      <c r="D41" s="17"/>
      <c r="E41" s="17"/>
      <c r="F41" s="17"/>
      <c r="G41" s="17"/>
      <c r="H41" s="17"/>
    </row>
    <row r="42" spans="1:8" ht="15.75" customHeight="1" x14ac:dyDescent="0.25">
      <c r="A42" s="17"/>
      <c r="B42" s="17"/>
      <c r="C42" s="17"/>
      <c r="D42" s="17"/>
      <c r="E42" s="17"/>
      <c r="F42" s="17"/>
      <c r="G42" s="17"/>
      <c r="H42" s="17"/>
    </row>
    <row r="43" spans="1:8" ht="15.75" customHeight="1" x14ac:dyDescent="0.25">
      <c r="A43" s="17"/>
      <c r="B43" s="17"/>
      <c r="C43" s="17"/>
      <c r="D43" s="17"/>
      <c r="E43" s="17"/>
      <c r="F43" s="17"/>
      <c r="G43" s="17"/>
      <c r="H43" s="17"/>
    </row>
    <row r="44" spans="1:8" ht="15.75" customHeight="1" x14ac:dyDescent="0.25">
      <c r="A44" s="17"/>
      <c r="B44" s="17"/>
      <c r="C44" s="17"/>
      <c r="D44" s="17"/>
      <c r="E44" s="17"/>
      <c r="F44" s="17"/>
      <c r="G44" s="17"/>
      <c r="H44" s="17"/>
    </row>
    <row r="45" spans="1:8" ht="15.75" customHeight="1" x14ac:dyDescent="0.25">
      <c r="A45" s="17"/>
      <c r="B45" s="17"/>
      <c r="C45" s="17"/>
      <c r="D45" s="17"/>
      <c r="E45" s="17"/>
      <c r="F45" s="17"/>
      <c r="G45" s="17"/>
      <c r="H45" s="17"/>
    </row>
    <row r="46" spans="1:8" ht="15.75" customHeight="1" x14ac:dyDescent="0.25">
      <c r="A46" s="17"/>
      <c r="B46" s="17"/>
      <c r="C46" s="17"/>
      <c r="D46" s="17"/>
      <c r="E46" s="17"/>
      <c r="F46" s="17"/>
      <c r="G46" s="17"/>
      <c r="H46" s="17"/>
    </row>
    <row r="47" spans="1:8" ht="15.75" customHeight="1" x14ac:dyDescent="0.25">
      <c r="A47" s="17"/>
      <c r="B47" s="17"/>
      <c r="C47" s="17"/>
      <c r="D47" s="17"/>
      <c r="E47" s="17"/>
      <c r="F47" s="17"/>
      <c r="G47" s="17"/>
      <c r="H47" s="17"/>
    </row>
    <row r="48" spans="1:8" ht="15.75" customHeight="1" x14ac:dyDescent="0.25">
      <c r="A48" s="17"/>
      <c r="B48" s="17"/>
      <c r="C48" s="17"/>
      <c r="D48" s="17"/>
      <c r="E48" s="17"/>
      <c r="F48" s="17"/>
      <c r="G48" s="17"/>
      <c r="H48" s="17"/>
    </row>
    <row r="49" spans="1:8" ht="15.75" customHeight="1" x14ac:dyDescent="0.25">
      <c r="A49" s="17"/>
      <c r="B49" s="17"/>
      <c r="C49" s="17"/>
      <c r="D49" s="17"/>
      <c r="E49" s="17"/>
      <c r="F49" s="17"/>
      <c r="G49" s="17"/>
      <c r="H49" s="17"/>
    </row>
    <row r="50" spans="1:8" ht="15.75" customHeight="1" x14ac:dyDescent="0.25">
      <c r="A50" s="17"/>
      <c r="B50" s="17"/>
      <c r="C50" s="17"/>
      <c r="D50" s="17"/>
      <c r="E50" s="17"/>
      <c r="F50" s="17"/>
      <c r="G50" s="17"/>
      <c r="H50" s="17"/>
    </row>
    <row r="51" spans="1:8" ht="15.75" customHeight="1" x14ac:dyDescent="0.25">
      <c r="A51" s="17"/>
      <c r="B51" s="17"/>
      <c r="C51" s="17"/>
      <c r="D51" s="17"/>
      <c r="E51" s="17"/>
      <c r="F51" s="17"/>
      <c r="G51" s="17"/>
      <c r="H51" s="17"/>
    </row>
    <row r="52" spans="1:8" ht="15.75" customHeight="1" x14ac:dyDescent="0.25">
      <c r="A52" s="17"/>
      <c r="B52" s="17"/>
      <c r="C52" s="17"/>
      <c r="D52" s="17"/>
      <c r="E52" s="17"/>
      <c r="F52" s="17"/>
      <c r="G52" s="17"/>
      <c r="H52" s="17"/>
    </row>
    <row r="53" spans="1:8" ht="15.75" customHeight="1" x14ac:dyDescent="0.25">
      <c r="A53" s="17"/>
      <c r="B53" s="17"/>
      <c r="C53" s="17"/>
      <c r="D53" s="17"/>
      <c r="E53" s="17"/>
      <c r="F53" s="17"/>
      <c r="G53" s="17"/>
      <c r="H53" s="17"/>
    </row>
    <row r="54" spans="1:8" ht="15.75" customHeight="1" x14ac:dyDescent="0.25">
      <c r="A54" s="17"/>
      <c r="B54" s="17"/>
      <c r="C54" s="17"/>
      <c r="D54" s="17"/>
      <c r="E54" s="17"/>
      <c r="F54" s="17"/>
      <c r="G54" s="17"/>
      <c r="H54" s="17"/>
    </row>
    <row r="55" spans="1:8" ht="15.75" customHeight="1" x14ac:dyDescent="0.25">
      <c r="A55" s="17"/>
      <c r="B55" s="17"/>
      <c r="C55" s="17"/>
      <c r="D55" s="17"/>
      <c r="E55" s="17"/>
      <c r="F55" s="17"/>
      <c r="G55" s="17"/>
      <c r="H55" s="17"/>
    </row>
    <row r="56" spans="1:8" ht="15.75" customHeight="1" x14ac:dyDescent="0.25">
      <c r="A56" s="17"/>
      <c r="B56" s="17"/>
      <c r="C56" s="17"/>
      <c r="D56" s="17"/>
      <c r="E56" s="17"/>
      <c r="F56" s="17"/>
      <c r="G56" s="17"/>
      <c r="H56" s="17"/>
    </row>
    <row r="57" spans="1:8" ht="15.75" customHeight="1" x14ac:dyDescent="0.25">
      <c r="A57" s="17"/>
      <c r="B57" s="17"/>
      <c r="C57" s="17"/>
      <c r="D57" s="17"/>
      <c r="E57" s="17"/>
      <c r="F57" s="17"/>
      <c r="G57" s="17"/>
      <c r="H57" s="17"/>
    </row>
    <row r="58" spans="1:8" ht="15.75" customHeight="1" x14ac:dyDescent="0.25">
      <c r="A58" s="17"/>
      <c r="B58" s="17"/>
      <c r="C58" s="17"/>
      <c r="D58" s="17"/>
      <c r="E58" s="17"/>
      <c r="F58" s="17"/>
      <c r="G58" s="17"/>
      <c r="H58" s="17"/>
    </row>
    <row r="59" spans="1:8" ht="15.75" customHeight="1" x14ac:dyDescent="0.25">
      <c r="A59" s="17"/>
      <c r="B59" s="17"/>
      <c r="C59" s="17"/>
      <c r="D59" s="17"/>
      <c r="E59" s="17"/>
      <c r="F59" s="17"/>
      <c r="G59" s="17"/>
      <c r="H59" s="17"/>
    </row>
    <row r="60" spans="1:8" ht="15.75" customHeight="1" x14ac:dyDescent="0.25">
      <c r="A60" s="17"/>
      <c r="B60" s="17"/>
      <c r="C60" s="17"/>
      <c r="D60" s="17"/>
      <c r="E60" s="17"/>
      <c r="F60" s="17"/>
      <c r="G60" s="17"/>
      <c r="H60" s="17"/>
    </row>
    <row r="61" spans="1:8" ht="15.75" customHeight="1" x14ac:dyDescent="0.25">
      <c r="A61" s="17"/>
      <c r="B61" s="17"/>
      <c r="C61" s="17"/>
      <c r="D61" s="17"/>
      <c r="E61" s="17"/>
      <c r="F61" s="17"/>
      <c r="G61" s="17"/>
      <c r="H61" s="17"/>
    </row>
    <row r="62" spans="1:8" ht="15.75" customHeight="1" x14ac:dyDescent="0.25">
      <c r="A62" s="17"/>
      <c r="B62" s="17"/>
      <c r="C62" s="17"/>
      <c r="D62" s="17"/>
      <c r="E62" s="17"/>
      <c r="F62" s="17"/>
      <c r="G62" s="17"/>
      <c r="H62" s="17"/>
    </row>
    <row r="63" spans="1:8" ht="15.75" customHeight="1" x14ac:dyDescent="0.25">
      <c r="A63" s="17"/>
      <c r="B63" s="17"/>
      <c r="C63" s="17"/>
      <c r="D63" s="17"/>
      <c r="E63" s="17"/>
      <c r="F63" s="17"/>
      <c r="G63" s="17"/>
      <c r="H63" s="17"/>
    </row>
    <row r="64" spans="1:8" ht="15.75" customHeight="1" x14ac:dyDescent="0.25">
      <c r="A64" s="17"/>
      <c r="B64" s="17"/>
      <c r="C64" s="17"/>
      <c r="D64" s="17"/>
      <c r="E64" s="17"/>
      <c r="F64" s="17"/>
      <c r="G64" s="17"/>
      <c r="H64" s="17"/>
    </row>
    <row r="65" spans="1:8" ht="15.75" customHeight="1" x14ac:dyDescent="0.25">
      <c r="A65" s="17"/>
      <c r="B65" s="17"/>
      <c r="C65" s="17"/>
      <c r="D65" s="17"/>
      <c r="E65" s="17"/>
      <c r="F65" s="17"/>
      <c r="G65" s="17"/>
      <c r="H65" s="17"/>
    </row>
    <row r="66" spans="1:8" ht="15.75" customHeight="1" x14ac:dyDescent="0.25">
      <c r="A66" s="17"/>
      <c r="B66" s="17"/>
      <c r="C66" s="17"/>
      <c r="D66" s="17"/>
      <c r="E66" s="17"/>
      <c r="F66" s="17"/>
      <c r="G66" s="17"/>
      <c r="H66" s="17"/>
    </row>
    <row r="67" spans="1:8" ht="15.75" customHeight="1" x14ac:dyDescent="0.25">
      <c r="A67" s="17"/>
      <c r="B67" s="17"/>
      <c r="C67" s="17"/>
      <c r="D67" s="17"/>
      <c r="E67" s="17"/>
      <c r="F67" s="17"/>
      <c r="G67" s="17"/>
      <c r="H67" s="17"/>
    </row>
    <row r="68" spans="1:8" ht="15.75" customHeight="1" x14ac:dyDescent="0.25">
      <c r="A68" s="17"/>
      <c r="B68" s="17"/>
      <c r="C68" s="17"/>
      <c r="D68" s="17"/>
      <c r="E68" s="17"/>
      <c r="F68" s="17"/>
      <c r="G68" s="17"/>
      <c r="H68" s="17"/>
    </row>
    <row r="69" spans="1:8" ht="15.75" customHeight="1" x14ac:dyDescent="0.25">
      <c r="A69" s="17"/>
      <c r="B69" s="17"/>
      <c r="C69" s="17"/>
      <c r="D69" s="17"/>
      <c r="E69" s="17"/>
      <c r="F69" s="17"/>
      <c r="G69" s="17"/>
      <c r="H69" s="17"/>
    </row>
    <row r="70" spans="1:8" ht="15.75" customHeight="1" x14ac:dyDescent="0.25">
      <c r="A70" s="17"/>
      <c r="B70" s="17"/>
      <c r="C70" s="17"/>
      <c r="D70" s="17"/>
      <c r="E70" s="17"/>
      <c r="F70" s="17"/>
      <c r="G70" s="17"/>
      <c r="H70" s="17"/>
    </row>
    <row r="71" spans="1:8" ht="15.75" customHeight="1" x14ac:dyDescent="0.25">
      <c r="A71" s="17"/>
      <c r="B71" s="17"/>
      <c r="C71" s="17"/>
      <c r="D71" s="17"/>
      <c r="E71" s="17"/>
      <c r="F71" s="17"/>
      <c r="G71" s="17"/>
      <c r="H71" s="17"/>
    </row>
    <row r="72" spans="1:8" ht="15.75" customHeight="1" x14ac:dyDescent="0.25">
      <c r="A72" s="17"/>
      <c r="B72" s="17"/>
      <c r="C72" s="17"/>
      <c r="D72" s="17"/>
      <c r="E72" s="17"/>
      <c r="F72" s="17"/>
      <c r="G72" s="17"/>
      <c r="H72" s="17"/>
    </row>
    <row r="73" spans="1:8" ht="15.75" customHeight="1" x14ac:dyDescent="0.25">
      <c r="A73" s="17"/>
      <c r="B73" s="17"/>
      <c r="C73" s="17"/>
      <c r="D73" s="17"/>
      <c r="E73" s="17"/>
      <c r="F73" s="17"/>
      <c r="G73" s="17"/>
      <c r="H73" s="17"/>
    </row>
    <row r="74" spans="1:8" ht="15.75" customHeight="1" x14ac:dyDescent="0.25">
      <c r="A74" s="17"/>
      <c r="B74" s="17"/>
      <c r="C74" s="17"/>
      <c r="D74" s="17"/>
      <c r="E74" s="17"/>
      <c r="F74" s="17"/>
      <c r="G74" s="17"/>
      <c r="H74" s="17"/>
    </row>
    <row r="75" spans="1:8" ht="15.75" customHeight="1" x14ac:dyDescent="0.25">
      <c r="A75" s="17"/>
      <c r="B75" s="17"/>
      <c r="C75" s="17"/>
      <c r="D75" s="17"/>
      <c r="E75" s="17"/>
      <c r="F75" s="17"/>
      <c r="G75" s="17"/>
      <c r="H75" s="17"/>
    </row>
    <row r="76" spans="1:8" ht="15.75" customHeight="1" x14ac:dyDescent="0.25">
      <c r="A76" s="17"/>
      <c r="B76" s="17"/>
      <c r="C76" s="17"/>
      <c r="D76" s="17"/>
      <c r="E76" s="17"/>
      <c r="F76" s="17"/>
      <c r="G76" s="17"/>
      <c r="H76" s="17"/>
    </row>
    <row r="77" spans="1:8" ht="15.75" customHeight="1" x14ac:dyDescent="0.25">
      <c r="A77" s="17"/>
      <c r="B77" s="17"/>
      <c r="C77" s="17"/>
      <c r="D77" s="17"/>
      <c r="E77" s="17"/>
      <c r="F77" s="17"/>
      <c r="G77" s="17"/>
      <c r="H77" s="17"/>
    </row>
    <row r="78" spans="1:8" ht="15.75" customHeight="1" x14ac:dyDescent="0.25">
      <c r="A78" s="17"/>
      <c r="B78" s="17"/>
      <c r="C78" s="17"/>
      <c r="D78" s="17"/>
      <c r="E78" s="17"/>
      <c r="F78" s="17"/>
      <c r="G78" s="17"/>
      <c r="H78" s="17"/>
    </row>
    <row r="79" spans="1:8" ht="15.75" customHeight="1" x14ac:dyDescent="0.25">
      <c r="A79" s="17"/>
      <c r="B79" s="17"/>
      <c r="C79" s="17"/>
      <c r="D79" s="17"/>
      <c r="E79" s="17"/>
      <c r="F79" s="17"/>
      <c r="G79" s="17"/>
      <c r="H79" s="17"/>
    </row>
    <row r="80" spans="1:8" ht="15.75" customHeight="1" x14ac:dyDescent="0.25">
      <c r="A80" s="17"/>
      <c r="B80" s="17"/>
      <c r="C80" s="17"/>
      <c r="D80" s="17"/>
      <c r="E80" s="17"/>
      <c r="F80" s="17"/>
      <c r="G80" s="17"/>
      <c r="H80" s="17"/>
    </row>
    <row r="81" spans="1:8" ht="15.75" customHeight="1" x14ac:dyDescent="0.25">
      <c r="A81" s="17"/>
      <c r="B81" s="17"/>
      <c r="C81" s="17"/>
      <c r="D81" s="17"/>
      <c r="E81" s="17"/>
      <c r="F81" s="17"/>
      <c r="G81" s="17"/>
      <c r="H81" s="17"/>
    </row>
    <row r="82" spans="1:8" ht="15.75" customHeight="1" x14ac:dyDescent="0.25">
      <c r="A82" s="17"/>
      <c r="B82" s="17"/>
      <c r="C82" s="17"/>
      <c r="D82" s="17"/>
      <c r="E82" s="17"/>
      <c r="F82" s="17"/>
      <c r="G82" s="17"/>
      <c r="H82" s="17"/>
    </row>
    <row r="83" spans="1:8" ht="15.75" customHeight="1" x14ac:dyDescent="0.25">
      <c r="A83" s="17"/>
      <c r="B83" s="17"/>
      <c r="C83" s="17"/>
      <c r="D83" s="17"/>
      <c r="E83" s="17"/>
      <c r="F83" s="17"/>
      <c r="G83" s="17"/>
      <c r="H83" s="17"/>
    </row>
    <row r="84" spans="1:8" ht="15.75" customHeight="1" x14ac:dyDescent="0.25">
      <c r="A84" s="17"/>
      <c r="B84" s="17"/>
      <c r="C84" s="17"/>
      <c r="D84" s="17"/>
      <c r="E84" s="17"/>
      <c r="F84" s="17"/>
      <c r="G84" s="17"/>
      <c r="H84" s="17"/>
    </row>
    <row r="85" spans="1:8" ht="15.75" customHeight="1" x14ac:dyDescent="0.25">
      <c r="A85" s="17"/>
      <c r="B85" s="17"/>
      <c r="C85" s="17"/>
      <c r="D85" s="17"/>
      <c r="E85" s="17"/>
      <c r="F85" s="17"/>
      <c r="G85" s="17"/>
      <c r="H85" s="17"/>
    </row>
    <row r="86" spans="1:8" ht="15.75" customHeight="1" x14ac:dyDescent="0.25">
      <c r="A86" s="17"/>
      <c r="B86" s="17"/>
      <c r="C86" s="17"/>
      <c r="D86" s="17"/>
      <c r="E86" s="17"/>
      <c r="F86" s="17"/>
      <c r="G86" s="17"/>
      <c r="H86" s="17"/>
    </row>
    <row r="87" spans="1:8" ht="15.75" customHeight="1" x14ac:dyDescent="0.25">
      <c r="A87" s="17"/>
      <c r="B87" s="17"/>
      <c r="C87" s="17"/>
      <c r="D87" s="17"/>
      <c r="E87" s="17"/>
      <c r="F87" s="17"/>
      <c r="G87" s="17"/>
      <c r="H87" s="17"/>
    </row>
    <row r="88" spans="1:8" ht="15.75" customHeight="1" x14ac:dyDescent="0.25">
      <c r="A88" s="17"/>
      <c r="B88" s="17"/>
      <c r="C88" s="17"/>
      <c r="D88" s="17"/>
      <c r="E88" s="17"/>
      <c r="F88" s="17"/>
      <c r="G88" s="17"/>
      <c r="H88" s="17"/>
    </row>
    <row r="89" spans="1:8" ht="15.75" customHeight="1" x14ac:dyDescent="0.25">
      <c r="A89" s="17"/>
      <c r="B89" s="17"/>
      <c r="C89" s="17"/>
      <c r="D89" s="17"/>
      <c r="E89" s="17"/>
      <c r="F89" s="17"/>
      <c r="G89" s="17"/>
      <c r="H89" s="17"/>
    </row>
    <row r="90" spans="1:8" ht="15.75" customHeight="1" x14ac:dyDescent="0.25">
      <c r="A90" s="17"/>
      <c r="B90" s="17"/>
      <c r="C90" s="17"/>
      <c r="D90" s="17"/>
      <c r="E90" s="17"/>
      <c r="F90" s="17"/>
      <c r="G90" s="17"/>
      <c r="H90" s="17"/>
    </row>
    <row r="91" spans="1:8" ht="15.75" customHeight="1" x14ac:dyDescent="0.25">
      <c r="A91" s="17"/>
      <c r="B91" s="17"/>
      <c r="C91" s="17"/>
      <c r="D91" s="17"/>
      <c r="E91" s="17"/>
      <c r="F91" s="17"/>
      <c r="G91" s="17"/>
      <c r="H91" s="17"/>
    </row>
    <row r="92" spans="1:8" ht="15.75" customHeight="1" x14ac:dyDescent="0.25">
      <c r="A92" s="17"/>
      <c r="B92" s="17"/>
      <c r="C92" s="17"/>
      <c r="D92" s="17"/>
      <c r="E92" s="17"/>
      <c r="F92" s="17"/>
      <c r="G92" s="17"/>
      <c r="H92" s="17"/>
    </row>
    <row r="93" spans="1:8" ht="15.75" customHeight="1" x14ac:dyDescent="0.25">
      <c r="A93" s="17"/>
      <c r="B93" s="17"/>
      <c r="C93" s="17"/>
      <c r="D93" s="17"/>
      <c r="E93" s="17"/>
      <c r="F93" s="17"/>
      <c r="G93" s="17"/>
      <c r="H93" s="17"/>
    </row>
    <row r="94" spans="1:8" ht="15.75" customHeight="1" x14ac:dyDescent="0.25">
      <c r="A94" s="17"/>
      <c r="B94" s="17"/>
      <c r="C94" s="17"/>
      <c r="D94" s="17"/>
      <c r="E94" s="17"/>
      <c r="F94" s="17"/>
      <c r="G94" s="17"/>
      <c r="H94" s="17"/>
    </row>
    <row r="95" spans="1:8" ht="15.75" customHeight="1" x14ac:dyDescent="0.25">
      <c r="A95" s="17"/>
      <c r="B95" s="17"/>
      <c r="C95" s="17"/>
      <c r="D95" s="17"/>
      <c r="E95" s="17"/>
      <c r="F95" s="17"/>
      <c r="G95" s="17"/>
      <c r="H95" s="17"/>
    </row>
    <row r="96" spans="1:8" ht="15.75" customHeight="1" x14ac:dyDescent="0.25">
      <c r="A96" s="17"/>
      <c r="B96" s="17"/>
      <c r="C96" s="17"/>
      <c r="D96" s="17"/>
      <c r="E96" s="17"/>
      <c r="F96" s="17"/>
      <c r="G96" s="17"/>
      <c r="H96" s="17"/>
    </row>
    <row r="97" spans="1:8" ht="15.75" customHeight="1" x14ac:dyDescent="0.25">
      <c r="A97" s="17"/>
      <c r="B97" s="17"/>
      <c r="C97" s="17"/>
      <c r="D97" s="17"/>
      <c r="E97" s="17"/>
      <c r="F97" s="17"/>
      <c r="G97" s="17"/>
      <c r="H97" s="17"/>
    </row>
    <row r="98" spans="1:8" ht="15.75" customHeight="1" x14ac:dyDescent="0.25">
      <c r="A98" s="17"/>
      <c r="B98" s="17"/>
      <c r="C98" s="17"/>
      <c r="D98" s="17"/>
      <c r="E98" s="17"/>
      <c r="F98" s="17"/>
      <c r="G98" s="17"/>
      <c r="H98" s="17"/>
    </row>
    <row r="99" spans="1:8" ht="15.75" customHeight="1" x14ac:dyDescent="0.25">
      <c r="A99" s="17"/>
      <c r="B99" s="17"/>
      <c r="C99" s="17"/>
      <c r="D99" s="17"/>
      <c r="E99" s="17"/>
      <c r="F99" s="17"/>
      <c r="G99" s="17"/>
      <c r="H99" s="17"/>
    </row>
    <row r="100" spans="1:8" ht="15.75" customHeight="1" x14ac:dyDescent="0.25">
      <c r="A100" s="17"/>
      <c r="B100" s="17"/>
      <c r="C100" s="17"/>
      <c r="D100" s="17"/>
      <c r="E100" s="17"/>
      <c r="F100" s="17"/>
      <c r="G100" s="17"/>
      <c r="H100" s="17"/>
    </row>
  </sheetData>
  <mergeCells count="19">
    <mergeCell ref="A1:H1"/>
    <mergeCell ref="A2:B2"/>
    <mergeCell ref="C2:D2"/>
    <mergeCell ref="E2:F2"/>
    <mergeCell ref="G2:H2"/>
    <mergeCell ref="A5:H5"/>
    <mergeCell ref="A32:D32"/>
    <mergeCell ref="A33:D33"/>
    <mergeCell ref="A34:D34"/>
    <mergeCell ref="C3:D3"/>
    <mergeCell ref="A17:D17"/>
    <mergeCell ref="A18:D18"/>
    <mergeCell ref="A19:D19"/>
    <mergeCell ref="A21:H21"/>
    <mergeCell ref="A29:D29"/>
    <mergeCell ref="A31:H31"/>
    <mergeCell ref="E3:F3"/>
    <mergeCell ref="G3:H3"/>
    <mergeCell ref="A3:B3"/>
  </mergeCells>
  <pageMargins left="0.75" right="0.75" top="1" bottom="1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B4226"/>
  </sheetPr>
  <dimension ref="A1:H100"/>
  <sheetViews>
    <sheetView workbookViewId="0">
      <pane ySplit="3" topLeftCell="A4" activePane="bottomLeft" state="frozen"/>
      <selection pane="bottomLeft" activeCell="E12" sqref="E12"/>
    </sheetView>
  </sheetViews>
  <sheetFormatPr defaultColWidth="14.42578125" defaultRowHeight="15" customHeight="1" x14ac:dyDescent="0.25"/>
  <cols>
    <col min="1" max="1" width="10" customWidth="1"/>
    <col min="2" max="2" width="26" customWidth="1"/>
    <col min="3" max="7" width="16" customWidth="1"/>
    <col min="8" max="8" width="20" customWidth="1"/>
  </cols>
  <sheetData>
    <row r="1" spans="1:8" ht="27.75" customHeight="1" x14ac:dyDescent="0.25">
      <c r="A1" s="163" t="s">
        <v>160</v>
      </c>
      <c r="B1" s="146"/>
      <c r="C1" s="146"/>
      <c r="D1" s="146"/>
      <c r="E1" s="146"/>
      <c r="F1" s="146"/>
      <c r="G1" s="146"/>
      <c r="H1" s="147"/>
    </row>
    <row r="2" spans="1:8" ht="18" customHeight="1" x14ac:dyDescent="0.25">
      <c r="A2" s="164" t="s">
        <v>34</v>
      </c>
      <c r="B2" s="147"/>
      <c r="C2" s="164" t="s">
        <v>35</v>
      </c>
      <c r="D2" s="147"/>
      <c r="E2" s="164" t="s">
        <v>36</v>
      </c>
      <c r="F2" s="147"/>
      <c r="G2" s="164" t="s">
        <v>37</v>
      </c>
      <c r="H2" s="147"/>
    </row>
    <row r="3" spans="1:8" ht="21.75" customHeight="1" x14ac:dyDescent="0.25">
      <c r="A3" s="162">
        <f>E27</f>
        <v>5125</v>
      </c>
      <c r="B3" s="147"/>
      <c r="C3" s="154">
        <f>E17</f>
        <v>1084</v>
      </c>
      <c r="D3" s="147"/>
      <c r="E3" s="160">
        <f>E27-E17</f>
        <v>4041</v>
      </c>
      <c r="F3" s="147"/>
      <c r="G3" s="161">
        <f>IF(E27&gt;0,(E27-E17)/E27,0)</f>
        <v>0.78848780487804881</v>
      </c>
      <c r="H3" s="147"/>
    </row>
    <row r="4" spans="1:8" ht="14.25" customHeight="1" x14ac:dyDescent="0.25">
      <c r="A4" s="17"/>
      <c r="B4" s="17"/>
      <c r="C4" s="17"/>
      <c r="D4" s="17"/>
      <c r="E4" s="17"/>
      <c r="F4" s="17"/>
      <c r="G4" s="17"/>
      <c r="H4" s="17"/>
    </row>
    <row r="5" spans="1:8" ht="19.5" customHeight="1" x14ac:dyDescent="0.25">
      <c r="A5" s="150" t="s">
        <v>161</v>
      </c>
      <c r="B5" s="146"/>
      <c r="C5" s="146"/>
      <c r="D5" s="146"/>
      <c r="E5" s="146"/>
      <c r="F5" s="146"/>
      <c r="G5" s="146"/>
      <c r="H5" s="147"/>
    </row>
    <row r="6" spans="1:8" ht="15" customHeight="1" x14ac:dyDescent="0.25">
      <c r="A6" s="36" t="s">
        <v>22</v>
      </c>
      <c r="B6" s="36" t="s">
        <v>39</v>
      </c>
      <c r="C6" s="36" t="s">
        <v>40</v>
      </c>
      <c r="D6" s="36" t="s">
        <v>41</v>
      </c>
      <c r="E6" s="36" t="s">
        <v>42</v>
      </c>
      <c r="F6" s="36" t="s">
        <v>43</v>
      </c>
      <c r="G6" s="36" t="s">
        <v>44</v>
      </c>
      <c r="H6" s="36"/>
    </row>
    <row r="7" spans="1:8" ht="15" customHeight="1" x14ac:dyDescent="0.25">
      <c r="A7" s="37" t="s">
        <v>162</v>
      </c>
      <c r="B7" s="41" t="s">
        <v>49</v>
      </c>
      <c r="C7" s="63"/>
      <c r="D7" s="40" t="s">
        <v>50</v>
      </c>
      <c r="E7" s="42">
        <v>216</v>
      </c>
      <c r="F7" s="37"/>
      <c r="G7" s="37"/>
      <c r="H7" s="37"/>
    </row>
    <row r="8" spans="1:8" ht="15" customHeight="1" x14ac:dyDescent="0.25">
      <c r="A8" s="40" t="s">
        <v>162</v>
      </c>
      <c r="B8" s="38" t="s">
        <v>51</v>
      </c>
      <c r="C8" s="62"/>
      <c r="D8" s="37" t="s">
        <v>50</v>
      </c>
      <c r="E8" s="39">
        <v>230</v>
      </c>
      <c r="F8" s="40"/>
      <c r="G8" s="40"/>
      <c r="H8" s="40"/>
    </row>
    <row r="9" spans="1:8" ht="15" customHeight="1" x14ac:dyDescent="0.25">
      <c r="A9" s="37" t="s">
        <v>162</v>
      </c>
      <c r="B9" s="41" t="s">
        <v>52</v>
      </c>
      <c r="C9" s="63"/>
      <c r="D9" s="40" t="s">
        <v>50</v>
      </c>
      <c r="E9" s="42">
        <v>95</v>
      </c>
      <c r="F9" s="37"/>
      <c r="G9" s="37"/>
      <c r="H9" s="37"/>
    </row>
    <row r="10" spans="1:8" ht="15" customHeight="1" x14ac:dyDescent="0.25">
      <c r="A10" s="40" t="s">
        <v>162</v>
      </c>
      <c r="B10" s="38" t="s">
        <v>53</v>
      </c>
      <c r="C10" s="62"/>
      <c r="D10" s="37" t="s">
        <v>50</v>
      </c>
      <c r="E10" s="39">
        <v>120</v>
      </c>
      <c r="F10" s="40"/>
      <c r="G10" s="40"/>
      <c r="H10" s="40"/>
    </row>
    <row r="11" spans="1:8" ht="15" customHeight="1" x14ac:dyDescent="0.25">
      <c r="A11" s="37" t="s">
        <v>162</v>
      </c>
      <c r="B11" s="41" t="s">
        <v>54</v>
      </c>
      <c r="C11" s="63"/>
      <c r="D11" s="40" t="s">
        <v>50</v>
      </c>
      <c r="E11" s="42">
        <v>288</v>
      </c>
      <c r="F11" s="37"/>
      <c r="G11" s="37"/>
      <c r="H11" s="37"/>
    </row>
    <row r="12" spans="1:8" ht="15" customHeight="1" x14ac:dyDescent="0.25">
      <c r="A12" s="31"/>
      <c r="B12" s="38" t="s">
        <v>55</v>
      </c>
      <c r="C12" s="62"/>
      <c r="D12" s="37" t="s">
        <v>50</v>
      </c>
      <c r="E12" s="39">
        <v>135</v>
      </c>
      <c r="F12" s="31"/>
      <c r="G12" s="31"/>
      <c r="H12" s="31"/>
    </row>
    <row r="13" spans="1:8" ht="15" customHeight="1" x14ac:dyDescent="0.25">
      <c r="A13" s="40"/>
      <c r="B13" s="40"/>
      <c r="C13" s="31"/>
      <c r="D13" s="40"/>
      <c r="E13" s="107"/>
      <c r="F13" s="31"/>
      <c r="G13" s="40"/>
      <c r="H13" s="31"/>
    </row>
    <row r="14" spans="1:8" ht="15" customHeight="1" x14ac:dyDescent="0.25">
      <c r="A14" s="31"/>
      <c r="B14" s="31"/>
      <c r="C14" s="31"/>
      <c r="D14" s="31"/>
      <c r="E14" s="29"/>
      <c r="F14" s="31"/>
      <c r="G14" s="31"/>
      <c r="H14" s="31"/>
    </row>
    <row r="15" spans="1:8" ht="15" customHeight="1" x14ac:dyDescent="0.25">
      <c r="A15" s="155" t="s">
        <v>56</v>
      </c>
      <c r="B15" s="152"/>
      <c r="C15" s="152"/>
      <c r="D15" s="153"/>
      <c r="E15" s="43">
        <f>SUM(E7:E14)</f>
        <v>1084</v>
      </c>
      <c r="F15" s="44"/>
      <c r="G15" s="44"/>
      <c r="H15" s="44"/>
    </row>
    <row r="16" spans="1:8" ht="15" customHeight="1" x14ac:dyDescent="0.25">
      <c r="A16" s="156" t="s">
        <v>57</v>
      </c>
      <c r="B16" s="152"/>
      <c r="C16" s="152"/>
      <c r="D16" s="153"/>
      <c r="E16" s="45"/>
      <c r="F16" s="44"/>
      <c r="G16" s="44"/>
      <c r="H16" s="44"/>
    </row>
    <row r="17" spans="1:8" ht="15" customHeight="1" x14ac:dyDescent="0.25">
      <c r="A17" s="157" t="s">
        <v>58</v>
      </c>
      <c r="B17" s="152"/>
      <c r="C17" s="152"/>
      <c r="D17" s="153"/>
      <c r="E17" s="46">
        <f>E15+E16</f>
        <v>1084</v>
      </c>
      <c r="F17" s="47"/>
      <c r="G17" s="47"/>
      <c r="H17" s="47"/>
    </row>
    <row r="18" spans="1:8" ht="14.25" customHeight="1" x14ac:dyDescent="0.25">
      <c r="A18" s="17"/>
      <c r="B18" s="17"/>
      <c r="C18" s="17"/>
      <c r="D18" s="17"/>
      <c r="E18" s="17"/>
      <c r="F18" s="17"/>
      <c r="G18" s="17"/>
      <c r="H18" s="17"/>
    </row>
    <row r="19" spans="1:8" ht="19.5" customHeight="1" x14ac:dyDescent="0.25">
      <c r="A19" s="158" t="s">
        <v>163</v>
      </c>
      <c r="B19" s="146"/>
      <c r="C19" s="146"/>
      <c r="D19" s="146"/>
      <c r="E19" s="146"/>
      <c r="F19" s="146"/>
      <c r="G19" s="146"/>
      <c r="H19" s="147"/>
    </row>
    <row r="20" spans="1:8" ht="15" customHeight="1" x14ac:dyDescent="0.25">
      <c r="A20" s="48" t="s">
        <v>22</v>
      </c>
      <c r="B20" s="48" t="s">
        <v>39</v>
      </c>
      <c r="C20" s="48" t="s">
        <v>40</v>
      </c>
      <c r="D20" s="48" t="s">
        <v>41</v>
      </c>
      <c r="E20" s="48" t="s">
        <v>42</v>
      </c>
      <c r="F20" s="48" t="s">
        <v>60</v>
      </c>
      <c r="G20" s="48" t="s">
        <v>44</v>
      </c>
      <c r="H20" s="48"/>
    </row>
    <row r="21" spans="1:8" ht="15" customHeight="1" x14ac:dyDescent="0.25">
      <c r="A21" s="143">
        <v>46447</v>
      </c>
      <c r="B21" s="50" t="s">
        <v>61</v>
      </c>
      <c r="C21" s="49" t="s">
        <v>62</v>
      </c>
      <c r="D21" s="49" t="s">
        <v>50</v>
      </c>
      <c r="E21" s="51">
        <v>1475</v>
      </c>
      <c r="F21" s="49"/>
      <c r="G21" s="49"/>
      <c r="H21" s="49"/>
    </row>
    <row r="22" spans="1:8" ht="15" customHeight="1" x14ac:dyDescent="0.25">
      <c r="A22" s="144">
        <v>46447</v>
      </c>
      <c r="B22" s="53" t="s">
        <v>63</v>
      </c>
      <c r="C22" s="52" t="s">
        <v>62</v>
      </c>
      <c r="D22" s="52" t="s">
        <v>50</v>
      </c>
      <c r="E22" s="54">
        <v>1300</v>
      </c>
      <c r="F22" s="52"/>
      <c r="G22" s="52"/>
      <c r="H22" s="52"/>
    </row>
    <row r="23" spans="1:8" ht="16.5" customHeight="1" x14ac:dyDescent="0.25">
      <c r="A23" s="143">
        <v>46447</v>
      </c>
      <c r="B23" s="50" t="s">
        <v>64</v>
      </c>
      <c r="C23" s="49" t="s">
        <v>62</v>
      </c>
      <c r="D23" s="49" t="s">
        <v>50</v>
      </c>
      <c r="E23" s="51">
        <v>1500</v>
      </c>
      <c r="F23" s="49"/>
      <c r="G23" s="49"/>
      <c r="H23" s="49"/>
    </row>
    <row r="24" spans="1:8" ht="15" customHeight="1" x14ac:dyDescent="0.25">
      <c r="A24" s="144">
        <v>46447</v>
      </c>
      <c r="B24" s="53" t="s">
        <v>408</v>
      </c>
      <c r="C24" s="52"/>
      <c r="D24" s="52"/>
      <c r="E24" s="54">
        <v>850</v>
      </c>
      <c r="F24" s="52"/>
      <c r="G24" s="52"/>
      <c r="H24" s="52"/>
    </row>
    <row r="25" spans="1:8" ht="15" customHeight="1" x14ac:dyDescent="0.25">
      <c r="A25" s="55"/>
      <c r="B25" s="55"/>
      <c r="C25" s="55"/>
      <c r="D25" s="55"/>
      <c r="E25" s="56"/>
      <c r="F25" s="55"/>
      <c r="G25" s="55"/>
      <c r="H25" s="55"/>
    </row>
    <row r="26" spans="1:8" ht="15" customHeight="1" x14ac:dyDescent="0.25">
      <c r="A26" s="55"/>
      <c r="B26" s="55"/>
      <c r="C26" s="55"/>
      <c r="D26" s="55"/>
      <c r="E26" s="56"/>
      <c r="F26" s="55"/>
      <c r="G26" s="55"/>
      <c r="H26" s="55"/>
    </row>
    <row r="27" spans="1:8" ht="15" customHeight="1" x14ac:dyDescent="0.25">
      <c r="A27" s="157" t="s">
        <v>66</v>
      </c>
      <c r="B27" s="152"/>
      <c r="C27" s="152"/>
      <c r="D27" s="153"/>
      <c r="E27" s="46">
        <f>SUM(E21:E26)</f>
        <v>5125</v>
      </c>
      <c r="F27" s="47"/>
      <c r="G27" s="47"/>
      <c r="H27" s="47"/>
    </row>
    <row r="28" spans="1:8" ht="15.75" customHeight="1" x14ac:dyDescent="0.25">
      <c r="A28" s="17"/>
      <c r="B28" s="17"/>
      <c r="C28" s="17"/>
      <c r="D28" s="17"/>
      <c r="E28" s="17"/>
      <c r="F28" s="17"/>
      <c r="G28" s="17"/>
      <c r="H28" s="17"/>
    </row>
    <row r="29" spans="1:8" ht="19.5" customHeight="1" x14ac:dyDescent="0.25">
      <c r="A29" s="159" t="s">
        <v>67</v>
      </c>
      <c r="B29" s="146"/>
      <c r="C29" s="146"/>
      <c r="D29" s="146"/>
      <c r="E29" s="146"/>
      <c r="F29" s="146"/>
      <c r="G29" s="146"/>
      <c r="H29" s="147"/>
    </row>
    <row r="30" spans="1:8" ht="15" customHeight="1" x14ac:dyDescent="0.25">
      <c r="A30" s="151" t="s">
        <v>68</v>
      </c>
      <c r="B30" s="152"/>
      <c r="C30" s="152"/>
      <c r="D30" s="153"/>
      <c r="E30" s="57">
        <f>E27-E17</f>
        <v>4041</v>
      </c>
      <c r="F30" s="58"/>
      <c r="G30" s="58"/>
      <c r="H30" s="58"/>
    </row>
    <row r="31" spans="1:8" ht="15" customHeight="1" x14ac:dyDescent="0.25">
      <c r="A31" s="151" t="s">
        <v>76</v>
      </c>
      <c r="B31" s="152"/>
      <c r="C31" s="152"/>
      <c r="D31" s="153"/>
      <c r="E31" s="57">
        <f>0.7*(E27-E17)</f>
        <v>2828.7</v>
      </c>
      <c r="F31" s="58"/>
      <c r="G31" s="58"/>
      <c r="H31" s="58"/>
    </row>
    <row r="32" spans="1:8" ht="15" customHeight="1" x14ac:dyDescent="0.25">
      <c r="A32" s="151" t="s">
        <v>70</v>
      </c>
      <c r="B32" s="152"/>
      <c r="C32" s="152"/>
      <c r="D32" s="153"/>
      <c r="E32" s="57">
        <f>E17/6</f>
        <v>180.66666666666666</v>
      </c>
      <c r="F32" s="58"/>
      <c r="G32" s="58"/>
      <c r="H32" s="58"/>
    </row>
    <row r="33" spans="1:8" ht="15.75" customHeight="1" x14ac:dyDescent="0.25">
      <c r="A33" s="17"/>
      <c r="B33" s="17"/>
      <c r="C33" s="17"/>
      <c r="D33" s="17"/>
      <c r="E33" s="17"/>
      <c r="F33" s="17"/>
      <c r="G33" s="17"/>
      <c r="H33" s="17"/>
    </row>
    <row r="34" spans="1:8" ht="15.75" customHeight="1" x14ac:dyDescent="0.25">
      <c r="A34" s="17"/>
      <c r="B34" s="17"/>
      <c r="C34" s="17"/>
      <c r="D34" s="17"/>
      <c r="E34" s="17"/>
      <c r="F34" s="17"/>
      <c r="G34" s="17"/>
      <c r="H34" s="17"/>
    </row>
    <row r="35" spans="1:8" ht="15.75" customHeight="1" x14ac:dyDescent="0.25">
      <c r="A35" s="17"/>
      <c r="B35" s="17"/>
      <c r="C35" s="17"/>
      <c r="D35" s="17"/>
      <c r="E35" s="17"/>
      <c r="F35" s="17"/>
      <c r="G35" s="17"/>
      <c r="H35" s="17"/>
    </row>
    <row r="36" spans="1:8" ht="15.75" customHeight="1" x14ac:dyDescent="0.25">
      <c r="A36" s="17"/>
      <c r="B36" s="17"/>
      <c r="C36" s="17"/>
      <c r="D36" s="17"/>
      <c r="E36" s="17"/>
      <c r="F36" s="17"/>
      <c r="G36" s="17"/>
      <c r="H36" s="17"/>
    </row>
    <row r="37" spans="1:8" ht="15.75" customHeight="1" x14ac:dyDescent="0.25">
      <c r="A37" s="17"/>
      <c r="B37" s="17"/>
      <c r="C37" s="17"/>
      <c r="D37" s="17"/>
      <c r="E37" s="17"/>
      <c r="F37" s="17"/>
      <c r="G37" s="17"/>
      <c r="H37" s="17"/>
    </row>
    <row r="38" spans="1:8" ht="15.75" customHeight="1" x14ac:dyDescent="0.25">
      <c r="A38" s="17"/>
      <c r="B38" s="17"/>
      <c r="C38" s="17"/>
      <c r="D38" s="17"/>
      <c r="E38" s="17"/>
      <c r="F38" s="17"/>
      <c r="G38" s="17"/>
      <c r="H38" s="17"/>
    </row>
    <row r="39" spans="1:8" ht="15.75" customHeight="1" x14ac:dyDescent="0.25">
      <c r="A39" s="17"/>
      <c r="B39" s="17"/>
      <c r="C39" s="17"/>
      <c r="D39" s="17"/>
      <c r="E39" s="17"/>
      <c r="F39" s="17"/>
      <c r="G39" s="17"/>
      <c r="H39" s="17"/>
    </row>
    <row r="40" spans="1:8" ht="15.75" customHeight="1" x14ac:dyDescent="0.25">
      <c r="A40" s="17"/>
      <c r="B40" s="17"/>
      <c r="C40" s="17"/>
      <c r="D40" s="17"/>
      <c r="E40" s="17"/>
      <c r="F40" s="17"/>
      <c r="G40" s="17"/>
      <c r="H40" s="17"/>
    </row>
    <row r="41" spans="1:8" ht="15.75" customHeight="1" x14ac:dyDescent="0.25">
      <c r="A41" s="17"/>
      <c r="B41" s="17"/>
      <c r="C41" s="17"/>
      <c r="D41" s="17"/>
      <c r="E41" s="17"/>
      <c r="F41" s="17"/>
      <c r="G41" s="17"/>
      <c r="H41" s="17"/>
    </row>
    <row r="42" spans="1:8" ht="15.75" customHeight="1" x14ac:dyDescent="0.25">
      <c r="A42" s="17"/>
      <c r="B42" s="17"/>
      <c r="C42" s="17"/>
      <c r="D42" s="17"/>
      <c r="E42" s="17"/>
      <c r="F42" s="17"/>
      <c r="G42" s="17"/>
      <c r="H42" s="17"/>
    </row>
    <row r="43" spans="1:8" ht="15.75" customHeight="1" x14ac:dyDescent="0.25">
      <c r="A43" s="17"/>
      <c r="B43" s="17"/>
      <c r="C43" s="17"/>
      <c r="D43" s="17"/>
      <c r="E43" s="17"/>
      <c r="F43" s="17"/>
      <c r="G43" s="17"/>
      <c r="H43" s="17"/>
    </row>
    <row r="44" spans="1:8" ht="15.75" customHeight="1" x14ac:dyDescent="0.25">
      <c r="A44" s="17"/>
      <c r="B44" s="17"/>
      <c r="C44" s="17"/>
      <c r="D44" s="17"/>
      <c r="E44" s="17"/>
      <c r="F44" s="17"/>
      <c r="G44" s="17"/>
      <c r="H44" s="17"/>
    </row>
    <row r="45" spans="1:8" ht="15.75" customHeight="1" x14ac:dyDescent="0.25">
      <c r="A45" s="17"/>
      <c r="B45" s="17"/>
      <c r="C45" s="17"/>
      <c r="D45" s="17"/>
      <c r="E45" s="17"/>
      <c r="F45" s="17"/>
      <c r="G45" s="17"/>
      <c r="H45" s="17"/>
    </row>
    <row r="46" spans="1:8" ht="15.75" customHeight="1" x14ac:dyDescent="0.25">
      <c r="A46" s="17"/>
      <c r="B46" s="17"/>
      <c r="C46" s="17"/>
      <c r="D46" s="17"/>
      <c r="E46" s="17"/>
      <c r="F46" s="17"/>
      <c r="G46" s="17"/>
      <c r="H46" s="17"/>
    </row>
    <row r="47" spans="1:8" ht="15.75" customHeight="1" x14ac:dyDescent="0.25">
      <c r="A47" s="17"/>
      <c r="B47" s="17"/>
      <c r="C47" s="17"/>
      <c r="D47" s="17"/>
      <c r="E47" s="17"/>
      <c r="F47" s="17"/>
      <c r="G47" s="17"/>
      <c r="H47" s="17"/>
    </row>
    <row r="48" spans="1:8" ht="15.75" customHeight="1" x14ac:dyDescent="0.25">
      <c r="A48" s="17"/>
      <c r="B48" s="17"/>
      <c r="C48" s="17"/>
      <c r="D48" s="17"/>
      <c r="E48" s="17"/>
      <c r="F48" s="17"/>
      <c r="G48" s="17"/>
      <c r="H48" s="17"/>
    </row>
    <row r="49" spans="1:8" ht="15.75" customHeight="1" x14ac:dyDescent="0.25">
      <c r="A49" s="17"/>
      <c r="B49" s="17"/>
      <c r="C49" s="17"/>
      <c r="D49" s="17"/>
      <c r="E49" s="17"/>
      <c r="F49" s="17"/>
      <c r="G49" s="17"/>
      <c r="H49" s="17"/>
    </row>
    <row r="50" spans="1:8" ht="15.75" customHeight="1" x14ac:dyDescent="0.25">
      <c r="A50" s="17"/>
      <c r="B50" s="17"/>
      <c r="C50" s="17"/>
      <c r="D50" s="17"/>
      <c r="E50" s="17"/>
      <c r="F50" s="17"/>
      <c r="G50" s="17"/>
      <c r="H50" s="17"/>
    </row>
    <row r="51" spans="1:8" ht="15.75" customHeight="1" x14ac:dyDescent="0.25">
      <c r="A51" s="17"/>
      <c r="B51" s="17"/>
      <c r="C51" s="17"/>
      <c r="D51" s="17"/>
      <c r="E51" s="17"/>
      <c r="F51" s="17"/>
      <c r="G51" s="17"/>
      <c r="H51" s="17"/>
    </row>
    <row r="52" spans="1:8" ht="15.75" customHeight="1" x14ac:dyDescent="0.25">
      <c r="A52" s="17"/>
      <c r="B52" s="17"/>
      <c r="C52" s="17"/>
      <c r="D52" s="17"/>
      <c r="E52" s="17"/>
      <c r="F52" s="17"/>
      <c r="G52" s="17"/>
      <c r="H52" s="17"/>
    </row>
    <row r="53" spans="1:8" ht="15.75" customHeight="1" x14ac:dyDescent="0.25">
      <c r="A53" s="17"/>
      <c r="B53" s="17"/>
      <c r="C53" s="17"/>
      <c r="D53" s="17"/>
      <c r="E53" s="17"/>
      <c r="F53" s="17"/>
      <c r="G53" s="17"/>
      <c r="H53" s="17"/>
    </row>
    <row r="54" spans="1:8" ht="15.75" customHeight="1" x14ac:dyDescent="0.25">
      <c r="A54" s="17"/>
      <c r="B54" s="17"/>
      <c r="C54" s="17"/>
      <c r="D54" s="17"/>
      <c r="E54" s="17"/>
      <c r="F54" s="17"/>
      <c r="G54" s="17"/>
      <c r="H54" s="17"/>
    </row>
    <row r="55" spans="1:8" ht="15.75" customHeight="1" x14ac:dyDescent="0.25">
      <c r="A55" s="17"/>
      <c r="B55" s="17"/>
      <c r="C55" s="17"/>
      <c r="D55" s="17"/>
      <c r="E55" s="17"/>
      <c r="F55" s="17"/>
      <c r="G55" s="17"/>
      <c r="H55" s="17"/>
    </row>
    <row r="56" spans="1:8" ht="15.75" customHeight="1" x14ac:dyDescent="0.25">
      <c r="A56" s="17"/>
      <c r="B56" s="17"/>
      <c r="C56" s="17"/>
      <c r="D56" s="17"/>
      <c r="E56" s="17"/>
      <c r="F56" s="17"/>
      <c r="G56" s="17"/>
      <c r="H56" s="17"/>
    </row>
    <row r="57" spans="1:8" ht="15.75" customHeight="1" x14ac:dyDescent="0.25">
      <c r="A57" s="17"/>
      <c r="B57" s="17"/>
      <c r="C57" s="17"/>
      <c r="D57" s="17"/>
      <c r="E57" s="17"/>
      <c r="F57" s="17"/>
      <c r="G57" s="17"/>
      <c r="H57" s="17"/>
    </row>
    <row r="58" spans="1:8" ht="15.75" customHeight="1" x14ac:dyDescent="0.25">
      <c r="A58" s="17"/>
      <c r="B58" s="17"/>
      <c r="C58" s="17"/>
      <c r="D58" s="17"/>
      <c r="E58" s="17"/>
      <c r="F58" s="17"/>
      <c r="G58" s="17"/>
      <c r="H58" s="17"/>
    </row>
    <row r="59" spans="1:8" ht="15.75" customHeight="1" x14ac:dyDescent="0.25">
      <c r="A59" s="17"/>
      <c r="B59" s="17"/>
      <c r="C59" s="17"/>
      <c r="D59" s="17"/>
      <c r="E59" s="17"/>
      <c r="F59" s="17"/>
      <c r="G59" s="17"/>
      <c r="H59" s="17"/>
    </row>
    <row r="60" spans="1:8" ht="15.75" customHeight="1" x14ac:dyDescent="0.25">
      <c r="A60" s="17"/>
      <c r="B60" s="17"/>
      <c r="C60" s="17"/>
      <c r="D60" s="17"/>
      <c r="E60" s="17"/>
      <c r="F60" s="17"/>
      <c r="G60" s="17"/>
      <c r="H60" s="17"/>
    </row>
    <row r="61" spans="1:8" ht="15.75" customHeight="1" x14ac:dyDescent="0.25">
      <c r="A61" s="17"/>
      <c r="B61" s="17"/>
      <c r="C61" s="17"/>
      <c r="D61" s="17"/>
      <c r="E61" s="17"/>
      <c r="F61" s="17"/>
      <c r="G61" s="17"/>
      <c r="H61" s="17"/>
    </row>
    <row r="62" spans="1:8" ht="15.75" customHeight="1" x14ac:dyDescent="0.25">
      <c r="A62" s="17"/>
      <c r="B62" s="17"/>
      <c r="C62" s="17"/>
      <c r="D62" s="17"/>
      <c r="E62" s="17"/>
      <c r="F62" s="17"/>
      <c r="G62" s="17"/>
      <c r="H62" s="17"/>
    </row>
    <row r="63" spans="1:8" ht="15.75" customHeight="1" x14ac:dyDescent="0.25">
      <c r="A63" s="17"/>
      <c r="B63" s="17"/>
      <c r="C63" s="17"/>
      <c r="D63" s="17"/>
      <c r="E63" s="17"/>
      <c r="F63" s="17"/>
      <c r="G63" s="17"/>
      <c r="H63" s="17"/>
    </row>
    <row r="64" spans="1:8" ht="15.75" customHeight="1" x14ac:dyDescent="0.25">
      <c r="A64" s="17"/>
      <c r="B64" s="17"/>
      <c r="C64" s="17"/>
      <c r="D64" s="17"/>
      <c r="E64" s="17"/>
      <c r="F64" s="17"/>
      <c r="G64" s="17"/>
      <c r="H64" s="17"/>
    </row>
    <row r="65" spans="1:8" ht="15.75" customHeight="1" x14ac:dyDescent="0.25">
      <c r="A65" s="17"/>
      <c r="B65" s="17"/>
      <c r="C65" s="17"/>
      <c r="D65" s="17"/>
      <c r="E65" s="17"/>
      <c r="F65" s="17"/>
      <c r="G65" s="17"/>
      <c r="H65" s="17"/>
    </row>
    <row r="66" spans="1:8" ht="15.75" customHeight="1" x14ac:dyDescent="0.25">
      <c r="A66" s="17"/>
      <c r="B66" s="17"/>
      <c r="C66" s="17"/>
      <c r="D66" s="17"/>
      <c r="E66" s="17"/>
      <c r="F66" s="17"/>
      <c r="G66" s="17"/>
      <c r="H66" s="17"/>
    </row>
    <row r="67" spans="1:8" ht="15.75" customHeight="1" x14ac:dyDescent="0.25">
      <c r="A67" s="17"/>
      <c r="B67" s="17"/>
      <c r="C67" s="17"/>
      <c r="D67" s="17"/>
      <c r="E67" s="17"/>
      <c r="F67" s="17"/>
      <c r="G67" s="17"/>
      <c r="H67" s="17"/>
    </row>
    <row r="68" spans="1:8" ht="15.75" customHeight="1" x14ac:dyDescent="0.25">
      <c r="A68" s="17"/>
      <c r="B68" s="17"/>
      <c r="C68" s="17"/>
      <c r="D68" s="17"/>
      <c r="E68" s="17"/>
      <c r="F68" s="17"/>
      <c r="G68" s="17"/>
      <c r="H68" s="17"/>
    </row>
    <row r="69" spans="1:8" ht="15.75" customHeight="1" x14ac:dyDescent="0.25">
      <c r="A69" s="17"/>
      <c r="B69" s="17"/>
      <c r="C69" s="17"/>
      <c r="D69" s="17"/>
      <c r="E69" s="17"/>
      <c r="F69" s="17"/>
      <c r="G69" s="17"/>
      <c r="H69" s="17"/>
    </row>
    <row r="70" spans="1:8" ht="15.75" customHeight="1" x14ac:dyDescent="0.25">
      <c r="A70" s="17"/>
      <c r="B70" s="17"/>
      <c r="C70" s="17"/>
      <c r="D70" s="17"/>
      <c r="E70" s="17"/>
      <c r="F70" s="17"/>
      <c r="G70" s="17"/>
      <c r="H70" s="17"/>
    </row>
    <row r="71" spans="1:8" ht="15.75" customHeight="1" x14ac:dyDescent="0.25">
      <c r="A71" s="17"/>
      <c r="B71" s="17"/>
      <c r="C71" s="17"/>
      <c r="D71" s="17"/>
      <c r="E71" s="17"/>
      <c r="F71" s="17"/>
      <c r="G71" s="17"/>
      <c r="H71" s="17"/>
    </row>
    <row r="72" spans="1:8" ht="15.75" customHeight="1" x14ac:dyDescent="0.25">
      <c r="A72" s="17"/>
      <c r="B72" s="17"/>
      <c r="C72" s="17"/>
      <c r="D72" s="17"/>
      <c r="E72" s="17"/>
      <c r="F72" s="17"/>
      <c r="G72" s="17"/>
      <c r="H72" s="17"/>
    </row>
    <row r="73" spans="1:8" ht="15.75" customHeight="1" x14ac:dyDescent="0.25">
      <c r="A73" s="17"/>
      <c r="B73" s="17"/>
      <c r="C73" s="17"/>
      <c r="D73" s="17"/>
      <c r="E73" s="17"/>
      <c r="F73" s="17"/>
      <c r="G73" s="17"/>
      <c r="H73" s="17"/>
    </row>
    <row r="74" spans="1:8" ht="15.75" customHeight="1" x14ac:dyDescent="0.25">
      <c r="A74" s="17"/>
      <c r="B74" s="17"/>
      <c r="C74" s="17"/>
      <c r="D74" s="17"/>
      <c r="E74" s="17"/>
      <c r="F74" s="17"/>
      <c r="G74" s="17"/>
      <c r="H74" s="17"/>
    </row>
    <row r="75" spans="1:8" ht="15.75" customHeight="1" x14ac:dyDescent="0.25">
      <c r="A75" s="17"/>
      <c r="B75" s="17"/>
      <c r="C75" s="17"/>
      <c r="D75" s="17"/>
      <c r="E75" s="17"/>
      <c r="F75" s="17"/>
      <c r="G75" s="17"/>
      <c r="H75" s="17"/>
    </row>
    <row r="76" spans="1:8" ht="15.75" customHeight="1" x14ac:dyDescent="0.25">
      <c r="A76" s="17"/>
      <c r="B76" s="17"/>
      <c r="C76" s="17"/>
      <c r="D76" s="17"/>
      <c r="E76" s="17"/>
      <c r="F76" s="17"/>
      <c r="G76" s="17"/>
      <c r="H76" s="17"/>
    </row>
    <row r="77" spans="1:8" ht="15.75" customHeight="1" x14ac:dyDescent="0.25">
      <c r="A77" s="17"/>
      <c r="B77" s="17"/>
      <c r="C77" s="17"/>
      <c r="D77" s="17"/>
      <c r="E77" s="17"/>
      <c r="F77" s="17"/>
      <c r="G77" s="17"/>
      <c r="H77" s="17"/>
    </row>
    <row r="78" spans="1:8" ht="15.75" customHeight="1" x14ac:dyDescent="0.25">
      <c r="A78" s="17"/>
      <c r="B78" s="17"/>
      <c r="C78" s="17"/>
      <c r="D78" s="17"/>
      <c r="E78" s="17"/>
      <c r="F78" s="17"/>
      <c r="G78" s="17"/>
      <c r="H78" s="17"/>
    </row>
    <row r="79" spans="1:8" ht="15.75" customHeight="1" x14ac:dyDescent="0.25">
      <c r="A79" s="17"/>
      <c r="B79" s="17"/>
      <c r="C79" s="17"/>
      <c r="D79" s="17"/>
      <c r="E79" s="17"/>
      <c r="F79" s="17"/>
      <c r="G79" s="17"/>
      <c r="H79" s="17"/>
    </row>
    <row r="80" spans="1:8" ht="15.75" customHeight="1" x14ac:dyDescent="0.25">
      <c r="A80" s="17"/>
      <c r="B80" s="17"/>
      <c r="C80" s="17"/>
      <c r="D80" s="17"/>
      <c r="E80" s="17"/>
      <c r="F80" s="17"/>
      <c r="G80" s="17"/>
      <c r="H80" s="17"/>
    </row>
    <row r="81" spans="1:8" ht="15.75" customHeight="1" x14ac:dyDescent="0.25">
      <c r="A81" s="17"/>
      <c r="B81" s="17"/>
      <c r="C81" s="17"/>
      <c r="D81" s="17"/>
      <c r="E81" s="17"/>
      <c r="F81" s="17"/>
      <c r="G81" s="17"/>
      <c r="H81" s="17"/>
    </row>
    <row r="82" spans="1:8" ht="15.75" customHeight="1" x14ac:dyDescent="0.25">
      <c r="A82" s="17"/>
      <c r="B82" s="17"/>
      <c r="C82" s="17"/>
      <c r="D82" s="17"/>
      <c r="E82" s="17"/>
      <c r="F82" s="17"/>
      <c r="G82" s="17"/>
      <c r="H82" s="17"/>
    </row>
    <row r="83" spans="1:8" ht="15.75" customHeight="1" x14ac:dyDescent="0.25">
      <c r="A83" s="17"/>
      <c r="B83" s="17"/>
      <c r="C83" s="17"/>
      <c r="D83" s="17"/>
      <c r="E83" s="17"/>
      <c r="F83" s="17"/>
      <c r="G83" s="17"/>
      <c r="H83" s="17"/>
    </row>
    <row r="84" spans="1:8" ht="15.75" customHeight="1" x14ac:dyDescent="0.25">
      <c r="A84" s="17"/>
      <c r="B84" s="17"/>
      <c r="C84" s="17"/>
      <c r="D84" s="17"/>
      <c r="E84" s="17"/>
      <c r="F84" s="17"/>
      <c r="G84" s="17"/>
      <c r="H84" s="17"/>
    </row>
    <row r="85" spans="1:8" ht="15.75" customHeight="1" x14ac:dyDescent="0.25">
      <c r="A85" s="17"/>
      <c r="B85" s="17"/>
      <c r="C85" s="17"/>
      <c r="D85" s="17"/>
      <c r="E85" s="17"/>
      <c r="F85" s="17"/>
      <c r="G85" s="17"/>
      <c r="H85" s="17"/>
    </row>
    <row r="86" spans="1:8" ht="15.75" customHeight="1" x14ac:dyDescent="0.25">
      <c r="A86" s="17"/>
      <c r="B86" s="17"/>
      <c r="C86" s="17"/>
      <c r="D86" s="17"/>
      <c r="E86" s="17"/>
      <c r="F86" s="17"/>
      <c r="G86" s="17"/>
      <c r="H86" s="17"/>
    </row>
    <row r="87" spans="1:8" ht="15.75" customHeight="1" x14ac:dyDescent="0.25">
      <c r="A87" s="17"/>
      <c r="B87" s="17"/>
      <c r="C87" s="17"/>
      <c r="D87" s="17"/>
      <c r="E87" s="17"/>
      <c r="F87" s="17"/>
      <c r="G87" s="17"/>
      <c r="H87" s="17"/>
    </row>
    <row r="88" spans="1:8" ht="15.75" customHeight="1" x14ac:dyDescent="0.25">
      <c r="A88" s="17"/>
      <c r="B88" s="17"/>
      <c r="C88" s="17"/>
      <c r="D88" s="17"/>
      <c r="E88" s="17"/>
      <c r="F88" s="17"/>
      <c r="G88" s="17"/>
      <c r="H88" s="17"/>
    </row>
    <row r="89" spans="1:8" ht="15.75" customHeight="1" x14ac:dyDescent="0.25">
      <c r="A89" s="17"/>
      <c r="B89" s="17"/>
      <c r="C89" s="17"/>
      <c r="D89" s="17"/>
      <c r="E89" s="17"/>
      <c r="F89" s="17"/>
      <c r="G89" s="17"/>
      <c r="H89" s="17"/>
    </row>
    <row r="90" spans="1:8" ht="15.75" customHeight="1" x14ac:dyDescent="0.25">
      <c r="A90" s="17"/>
      <c r="B90" s="17"/>
      <c r="C90" s="17"/>
      <c r="D90" s="17"/>
      <c r="E90" s="17"/>
      <c r="F90" s="17"/>
      <c r="G90" s="17"/>
      <c r="H90" s="17"/>
    </row>
    <row r="91" spans="1:8" ht="15.75" customHeight="1" x14ac:dyDescent="0.25">
      <c r="A91" s="17"/>
      <c r="B91" s="17"/>
      <c r="C91" s="17"/>
      <c r="D91" s="17"/>
      <c r="E91" s="17"/>
      <c r="F91" s="17"/>
      <c r="G91" s="17"/>
      <c r="H91" s="17"/>
    </row>
    <row r="92" spans="1:8" ht="15.75" customHeight="1" x14ac:dyDescent="0.25">
      <c r="A92" s="17"/>
      <c r="B92" s="17"/>
      <c r="C92" s="17"/>
      <c r="D92" s="17"/>
      <c r="E92" s="17"/>
      <c r="F92" s="17"/>
      <c r="G92" s="17"/>
      <c r="H92" s="17"/>
    </row>
    <row r="93" spans="1:8" ht="15.75" customHeight="1" x14ac:dyDescent="0.25">
      <c r="A93" s="17"/>
      <c r="B93" s="17"/>
      <c r="C93" s="17"/>
      <c r="D93" s="17"/>
      <c r="E93" s="17"/>
      <c r="F93" s="17"/>
      <c r="G93" s="17"/>
      <c r="H93" s="17"/>
    </row>
    <row r="94" spans="1:8" ht="15.75" customHeight="1" x14ac:dyDescent="0.25">
      <c r="A94" s="17"/>
      <c r="B94" s="17"/>
      <c r="C94" s="17"/>
      <c r="D94" s="17"/>
      <c r="E94" s="17"/>
      <c r="F94" s="17"/>
      <c r="G94" s="17"/>
      <c r="H94" s="17"/>
    </row>
    <row r="95" spans="1:8" ht="15.75" customHeight="1" x14ac:dyDescent="0.25">
      <c r="A95" s="17"/>
      <c r="B95" s="17"/>
      <c r="C95" s="17"/>
      <c r="D95" s="17"/>
      <c r="E95" s="17"/>
      <c r="F95" s="17"/>
      <c r="G95" s="17"/>
      <c r="H95" s="17"/>
    </row>
    <row r="96" spans="1:8" ht="15.75" customHeight="1" x14ac:dyDescent="0.25">
      <c r="A96" s="17"/>
      <c r="B96" s="17"/>
      <c r="C96" s="17"/>
      <c r="D96" s="17"/>
      <c r="E96" s="17"/>
      <c r="F96" s="17"/>
      <c r="G96" s="17"/>
      <c r="H96" s="17"/>
    </row>
    <row r="97" spans="1:8" ht="15.75" customHeight="1" x14ac:dyDescent="0.25">
      <c r="A97" s="17"/>
      <c r="B97" s="17"/>
      <c r="C97" s="17"/>
      <c r="D97" s="17"/>
      <c r="E97" s="17"/>
      <c r="F97" s="17"/>
      <c r="G97" s="17"/>
      <c r="H97" s="17"/>
    </row>
    <row r="98" spans="1:8" ht="15.75" customHeight="1" x14ac:dyDescent="0.25">
      <c r="A98" s="17"/>
      <c r="B98" s="17"/>
      <c r="C98" s="17"/>
      <c r="D98" s="17"/>
      <c r="E98" s="17"/>
      <c r="F98" s="17"/>
      <c r="G98" s="17"/>
      <c r="H98" s="17"/>
    </row>
    <row r="99" spans="1:8" ht="15.75" customHeight="1" x14ac:dyDescent="0.25">
      <c r="A99" s="17"/>
      <c r="B99" s="17"/>
      <c r="C99" s="17"/>
      <c r="D99" s="17"/>
      <c r="E99" s="17"/>
      <c r="F99" s="17"/>
      <c r="G99" s="17"/>
      <c r="H99" s="17"/>
    </row>
    <row r="100" spans="1:8" ht="15.75" customHeight="1" x14ac:dyDescent="0.25">
      <c r="A100" s="17"/>
      <c r="B100" s="17"/>
      <c r="C100" s="17"/>
      <c r="D100" s="17"/>
      <c r="E100" s="17"/>
      <c r="F100" s="17"/>
      <c r="G100" s="17"/>
      <c r="H100" s="17"/>
    </row>
  </sheetData>
  <mergeCells count="19">
    <mergeCell ref="A1:H1"/>
    <mergeCell ref="A2:B2"/>
    <mergeCell ref="C2:D2"/>
    <mergeCell ref="E2:F2"/>
    <mergeCell ref="G2:H2"/>
    <mergeCell ref="A5:H5"/>
    <mergeCell ref="A30:D30"/>
    <mergeCell ref="A31:D31"/>
    <mergeCell ref="A32:D32"/>
    <mergeCell ref="C3:D3"/>
    <mergeCell ref="A15:D15"/>
    <mergeCell ref="A16:D16"/>
    <mergeCell ref="A17:D17"/>
    <mergeCell ref="A19:H19"/>
    <mergeCell ref="A27:D27"/>
    <mergeCell ref="A29:H29"/>
    <mergeCell ref="E3:F3"/>
    <mergeCell ref="G3:H3"/>
    <mergeCell ref="A3:B3"/>
  </mergeCells>
  <pageMargins left="0.75" right="0.75" top="1" bottom="1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5C6BC0"/>
  </sheetPr>
  <dimension ref="A1:H100"/>
  <sheetViews>
    <sheetView workbookViewId="0">
      <pane ySplit="3" topLeftCell="A4" activePane="bottomLeft" state="frozen"/>
      <selection pane="bottomLeft" activeCell="A5" sqref="A5:H5"/>
    </sheetView>
  </sheetViews>
  <sheetFormatPr defaultColWidth="14.42578125" defaultRowHeight="15" customHeight="1" x14ac:dyDescent="0.25"/>
  <cols>
    <col min="1" max="1" width="10" customWidth="1"/>
    <col min="2" max="2" width="26" customWidth="1"/>
    <col min="3" max="7" width="16" customWidth="1"/>
    <col min="8" max="8" width="20" customWidth="1"/>
  </cols>
  <sheetData>
    <row r="1" spans="1:8" ht="27.75" customHeight="1" x14ac:dyDescent="0.25">
      <c r="A1" s="163" t="s">
        <v>164</v>
      </c>
      <c r="B1" s="146"/>
      <c r="C1" s="146"/>
      <c r="D1" s="146"/>
      <c r="E1" s="146"/>
      <c r="F1" s="146"/>
      <c r="G1" s="146"/>
      <c r="H1" s="147"/>
    </row>
    <row r="2" spans="1:8" ht="18" customHeight="1" x14ac:dyDescent="0.25">
      <c r="A2" s="164" t="s">
        <v>34</v>
      </c>
      <c r="B2" s="147"/>
      <c r="C2" s="164" t="s">
        <v>35</v>
      </c>
      <c r="D2" s="147"/>
      <c r="E2" s="164" t="s">
        <v>36</v>
      </c>
      <c r="F2" s="147"/>
      <c r="G2" s="164" t="s">
        <v>37</v>
      </c>
      <c r="H2" s="147"/>
    </row>
    <row r="3" spans="1:8" ht="21.75" customHeight="1" x14ac:dyDescent="0.25">
      <c r="A3" s="162">
        <f>E29</f>
        <v>4275</v>
      </c>
      <c r="B3" s="147"/>
      <c r="C3" s="154">
        <f>E19</f>
        <v>3080</v>
      </c>
      <c r="D3" s="147"/>
      <c r="E3" s="160">
        <f>E29-E19</f>
        <v>1195</v>
      </c>
      <c r="F3" s="147"/>
      <c r="G3" s="161">
        <f>IF(E29&gt;0,(E29-E19)/E29,0)</f>
        <v>0.27953216374269008</v>
      </c>
      <c r="H3" s="147"/>
    </row>
    <row r="4" spans="1:8" ht="14.25" customHeight="1" x14ac:dyDescent="0.25">
      <c r="A4" s="17"/>
      <c r="B4" s="17"/>
      <c r="C4" s="17"/>
      <c r="D4" s="17"/>
      <c r="E4" s="17"/>
      <c r="F4" s="17"/>
      <c r="G4" s="17"/>
      <c r="H4" s="17"/>
    </row>
    <row r="5" spans="1:8" ht="19.5" customHeight="1" x14ac:dyDescent="0.25">
      <c r="A5" s="150" t="s">
        <v>165</v>
      </c>
      <c r="B5" s="146"/>
      <c r="C5" s="146"/>
      <c r="D5" s="146"/>
      <c r="E5" s="146"/>
      <c r="F5" s="146"/>
      <c r="G5" s="146"/>
      <c r="H5" s="147"/>
    </row>
    <row r="6" spans="1:8" ht="15" customHeight="1" x14ac:dyDescent="0.25">
      <c r="A6" s="36" t="s">
        <v>22</v>
      </c>
      <c r="B6" s="36" t="s">
        <v>39</v>
      </c>
      <c r="C6" s="36" t="s">
        <v>40</v>
      </c>
      <c r="D6" s="36" t="s">
        <v>41</v>
      </c>
      <c r="E6" s="36" t="s">
        <v>42</v>
      </c>
      <c r="F6" s="36" t="s">
        <v>43</v>
      </c>
      <c r="G6" s="36" t="s">
        <v>44</v>
      </c>
      <c r="H6" s="36"/>
    </row>
    <row r="7" spans="1:8" ht="15" customHeight="1" x14ac:dyDescent="0.25">
      <c r="A7" s="37" t="s">
        <v>166</v>
      </c>
      <c r="B7" s="38" t="s">
        <v>46</v>
      </c>
      <c r="C7" s="37" t="s">
        <v>167</v>
      </c>
      <c r="D7" s="37" t="s">
        <v>48</v>
      </c>
      <c r="E7" s="39">
        <v>86</v>
      </c>
      <c r="F7" s="37"/>
      <c r="G7" s="37"/>
      <c r="H7" s="37"/>
    </row>
    <row r="8" spans="1:8" ht="15" customHeight="1" x14ac:dyDescent="0.25">
      <c r="A8" s="40" t="s">
        <v>166</v>
      </c>
      <c r="B8" s="41" t="s">
        <v>49</v>
      </c>
      <c r="C8" s="40"/>
      <c r="D8" s="40" t="s">
        <v>50</v>
      </c>
      <c r="E8" s="42">
        <v>216</v>
      </c>
      <c r="F8" s="40"/>
      <c r="G8" s="40"/>
      <c r="H8" s="40"/>
    </row>
    <row r="9" spans="1:8" ht="15" customHeight="1" x14ac:dyDescent="0.25">
      <c r="A9" s="37" t="s">
        <v>166</v>
      </c>
      <c r="B9" s="38" t="s">
        <v>51</v>
      </c>
      <c r="C9" s="37"/>
      <c r="D9" s="37" t="s">
        <v>50</v>
      </c>
      <c r="E9" s="39">
        <v>230</v>
      </c>
      <c r="F9" s="37"/>
      <c r="G9" s="37"/>
      <c r="H9" s="37"/>
    </row>
    <row r="10" spans="1:8" ht="15" customHeight="1" x14ac:dyDescent="0.25">
      <c r="A10" s="40" t="s">
        <v>166</v>
      </c>
      <c r="B10" s="41" t="s">
        <v>52</v>
      </c>
      <c r="C10" s="40"/>
      <c r="D10" s="40" t="s">
        <v>50</v>
      </c>
      <c r="E10" s="42">
        <v>95</v>
      </c>
      <c r="F10" s="40"/>
      <c r="G10" s="40"/>
      <c r="H10" s="40"/>
    </row>
    <row r="11" spans="1:8" ht="15" customHeight="1" x14ac:dyDescent="0.25">
      <c r="A11" s="37" t="s">
        <v>166</v>
      </c>
      <c r="B11" s="38" t="s">
        <v>53</v>
      </c>
      <c r="C11" s="37"/>
      <c r="D11" s="37" t="s">
        <v>50</v>
      </c>
      <c r="E11" s="39">
        <v>120</v>
      </c>
      <c r="F11" s="37"/>
      <c r="G11" s="37"/>
      <c r="H11" s="37"/>
    </row>
    <row r="12" spans="1:8" ht="15" customHeight="1" x14ac:dyDescent="0.25">
      <c r="A12" s="40" t="s">
        <v>166</v>
      </c>
      <c r="B12" s="41" t="s">
        <v>54</v>
      </c>
      <c r="C12" s="40"/>
      <c r="D12" s="40" t="s">
        <v>50</v>
      </c>
      <c r="E12" s="42">
        <v>288</v>
      </c>
      <c r="F12" s="40"/>
      <c r="G12" s="40"/>
      <c r="H12" s="40"/>
    </row>
    <row r="13" spans="1:8" ht="15" customHeight="1" x14ac:dyDescent="0.25">
      <c r="A13" s="37" t="s">
        <v>166</v>
      </c>
      <c r="B13" s="38" t="s">
        <v>55</v>
      </c>
      <c r="C13" s="37"/>
      <c r="D13" s="37" t="s">
        <v>50</v>
      </c>
      <c r="E13" s="39">
        <v>135</v>
      </c>
      <c r="F13" s="37"/>
      <c r="G13" s="37"/>
      <c r="H13" s="37"/>
    </row>
    <row r="14" spans="1:8" ht="15" customHeight="1" x14ac:dyDescent="0.25">
      <c r="A14" s="40" t="s">
        <v>168</v>
      </c>
      <c r="B14" s="40" t="s">
        <v>126</v>
      </c>
      <c r="C14" s="31"/>
      <c r="D14" s="40" t="s">
        <v>50</v>
      </c>
      <c r="E14" s="107">
        <f>'💳 Empréstimo'!F18</f>
        <v>560</v>
      </c>
      <c r="F14" s="31"/>
      <c r="G14" s="40" t="s">
        <v>169</v>
      </c>
      <c r="H14" s="31"/>
    </row>
    <row r="15" spans="1:8" ht="15" customHeight="1" x14ac:dyDescent="0.25">
      <c r="A15" s="31"/>
      <c r="B15" s="31"/>
      <c r="C15" s="31"/>
      <c r="D15" s="31"/>
      <c r="E15" s="29"/>
      <c r="F15" s="31"/>
      <c r="G15" s="31"/>
      <c r="H15" s="31"/>
    </row>
    <row r="16" spans="1:8" ht="15" customHeight="1" x14ac:dyDescent="0.25">
      <c r="A16" s="31"/>
      <c r="B16" s="31"/>
      <c r="C16" s="31"/>
      <c r="D16" s="31"/>
      <c r="E16" s="29"/>
      <c r="F16" s="31"/>
      <c r="G16" s="31"/>
      <c r="H16" s="31"/>
    </row>
    <row r="17" spans="1:8" ht="15" customHeight="1" x14ac:dyDescent="0.25">
      <c r="A17" s="155" t="s">
        <v>56</v>
      </c>
      <c r="B17" s="152"/>
      <c r="C17" s="152"/>
      <c r="D17" s="153"/>
      <c r="E17" s="43">
        <f>SUM(E7:E16)</f>
        <v>1730</v>
      </c>
      <c r="F17" s="44"/>
      <c r="G17" s="44"/>
      <c r="H17" s="44"/>
    </row>
    <row r="18" spans="1:8" ht="15" customHeight="1" x14ac:dyDescent="0.25">
      <c r="A18" s="156" t="s">
        <v>57</v>
      </c>
      <c r="B18" s="152"/>
      <c r="C18" s="152"/>
      <c r="D18" s="153"/>
      <c r="E18" s="45">
        <v>1350</v>
      </c>
      <c r="F18" s="44"/>
      <c r="G18" s="44"/>
      <c r="H18" s="44"/>
    </row>
    <row r="19" spans="1:8" ht="15" customHeight="1" x14ac:dyDescent="0.25">
      <c r="A19" s="157" t="s">
        <v>58</v>
      </c>
      <c r="B19" s="152"/>
      <c r="C19" s="152"/>
      <c r="D19" s="153"/>
      <c r="E19" s="46">
        <f>E17+E18</f>
        <v>3080</v>
      </c>
      <c r="F19" s="47"/>
      <c r="G19" s="47"/>
      <c r="H19" s="47"/>
    </row>
    <row r="20" spans="1:8" ht="14.25" customHeight="1" x14ac:dyDescent="0.25">
      <c r="A20" s="17"/>
      <c r="B20" s="17"/>
      <c r="C20" s="17"/>
      <c r="D20" s="17"/>
      <c r="E20" s="17"/>
      <c r="F20" s="17"/>
      <c r="G20" s="17"/>
      <c r="H20" s="17"/>
    </row>
    <row r="21" spans="1:8" ht="19.5" customHeight="1" x14ac:dyDescent="0.25">
      <c r="A21" s="158" t="s">
        <v>170</v>
      </c>
      <c r="B21" s="146"/>
      <c r="C21" s="146"/>
      <c r="D21" s="146"/>
      <c r="E21" s="146"/>
      <c r="F21" s="146"/>
      <c r="G21" s="146"/>
      <c r="H21" s="147"/>
    </row>
    <row r="22" spans="1:8" ht="15" customHeight="1" x14ac:dyDescent="0.25">
      <c r="A22" s="48" t="s">
        <v>22</v>
      </c>
      <c r="B22" s="48" t="s">
        <v>39</v>
      </c>
      <c r="C22" s="48" t="s">
        <v>40</v>
      </c>
      <c r="D22" s="48" t="s">
        <v>41</v>
      </c>
      <c r="E22" s="48" t="s">
        <v>42</v>
      </c>
      <c r="F22" s="48" t="s">
        <v>60</v>
      </c>
      <c r="G22" s="48" t="s">
        <v>44</v>
      </c>
      <c r="H22" s="48"/>
    </row>
    <row r="23" spans="1:8" ht="15" customHeight="1" x14ac:dyDescent="0.25">
      <c r="A23" s="49" t="s">
        <v>166</v>
      </c>
      <c r="B23" s="50" t="s">
        <v>61</v>
      </c>
      <c r="C23" s="49" t="s">
        <v>62</v>
      </c>
      <c r="D23" s="49" t="s">
        <v>50</v>
      </c>
      <c r="E23" s="51">
        <v>1475</v>
      </c>
      <c r="F23" s="49"/>
      <c r="G23" s="49"/>
      <c r="H23" s="49"/>
    </row>
    <row r="24" spans="1:8" ht="15" customHeight="1" x14ac:dyDescent="0.25">
      <c r="A24" s="52" t="s">
        <v>166</v>
      </c>
      <c r="B24" s="53" t="s">
        <v>63</v>
      </c>
      <c r="C24" s="52" t="s">
        <v>62</v>
      </c>
      <c r="D24" s="52" t="s">
        <v>50</v>
      </c>
      <c r="E24" s="54">
        <v>1300</v>
      </c>
      <c r="F24" s="52"/>
      <c r="G24" s="52"/>
      <c r="H24" s="52"/>
    </row>
    <row r="25" spans="1:8" ht="15" customHeight="1" x14ac:dyDescent="0.25">
      <c r="A25" s="49" t="s">
        <v>166</v>
      </c>
      <c r="B25" s="50" t="s">
        <v>64</v>
      </c>
      <c r="C25" s="49" t="s">
        <v>62</v>
      </c>
      <c r="D25" s="49" t="s">
        <v>50</v>
      </c>
      <c r="E25" s="51">
        <v>1500</v>
      </c>
      <c r="F25" s="49"/>
      <c r="G25" s="49"/>
      <c r="H25" s="49"/>
    </row>
    <row r="26" spans="1:8" ht="15" customHeight="1" x14ac:dyDescent="0.25">
      <c r="A26" s="52"/>
      <c r="B26" s="53"/>
      <c r="C26" s="52"/>
      <c r="D26" s="52"/>
      <c r="E26" s="54"/>
      <c r="F26" s="52"/>
      <c r="G26" s="52"/>
      <c r="H26" s="52"/>
    </row>
    <row r="27" spans="1:8" ht="15" customHeight="1" x14ac:dyDescent="0.25">
      <c r="A27" s="55"/>
      <c r="B27" s="55"/>
      <c r="C27" s="55"/>
      <c r="D27" s="55"/>
      <c r="E27" s="56"/>
      <c r="F27" s="55"/>
      <c r="G27" s="55"/>
      <c r="H27" s="55"/>
    </row>
    <row r="28" spans="1:8" ht="15" customHeight="1" x14ac:dyDescent="0.25">
      <c r="A28" s="55"/>
      <c r="B28" s="55"/>
      <c r="C28" s="55"/>
      <c r="D28" s="55"/>
      <c r="E28" s="56"/>
      <c r="F28" s="55"/>
      <c r="G28" s="55"/>
      <c r="H28" s="55"/>
    </row>
    <row r="29" spans="1:8" ht="15" customHeight="1" x14ac:dyDescent="0.25">
      <c r="A29" s="157" t="s">
        <v>66</v>
      </c>
      <c r="B29" s="152"/>
      <c r="C29" s="152"/>
      <c r="D29" s="153"/>
      <c r="E29" s="46">
        <f>SUM(E23:E28)</f>
        <v>4275</v>
      </c>
      <c r="F29" s="47"/>
      <c r="G29" s="47"/>
      <c r="H29" s="47"/>
    </row>
    <row r="30" spans="1:8" ht="15.75" customHeight="1" x14ac:dyDescent="0.25">
      <c r="A30" s="17"/>
      <c r="B30" s="17"/>
      <c r="C30" s="17"/>
      <c r="D30" s="17"/>
      <c r="E30" s="17"/>
      <c r="F30" s="17"/>
      <c r="G30" s="17"/>
      <c r="H30" s="17"/>
    </row>
    <row r="31" spans="1:8" ht="19.5" customHeight="1" x14ac:dyDescent="0.25">
      <c r="A31" s="159" t="s">
        <v>67</v>
      </c>
      <c r="B31" s="146"/>
      <c r="C31" s="146"/>
      <c r="D31" s="146"/>
      <c r="E31" s="146"/>
      <c r="F31" s="146"/>
      <c r="G31" s="146"/>
      <c r="H31" s="147"/>
    </row>
    <row r="32" spans="1:8" ht="15" customHeight="1" x14ac:dyDescent="0.25">
      <c r="A32" s="151" t="s">
        <v>68</v>
      </c>
      <c r="B32" s="152"/>
      <c r="C32" s="152"/>
      <c r="D32" s="153"/>
      <c r="E32" s="57">
        <f>E29-E19</f>
        <v>1195</v>
      </c>
      <c r="F32" s="58"/>
      <c r="G32" s="58"/>
      <c r="H32" s="58"/>
    </row>
    <row r="33" spans="1:8" ht="15" customHeight="1" x14ac:dyDescent="0.25">
      <c r="A33" s="151" t="s">
        <v>76</v>
      </c>
      <c r="B33" s="152"/>
      <c r="C33" s="152"/>
      <c r="D33" s="153"/>
      <c r="E33" s="57">
        <f>0.7*(E29-E19)</f>
        <v>836.5</v>
      </c>
      <c r="F33" s="58"/>
      <c r="G33" s="58"/>
      <c r="H33" s="58"/>
    </row>
    <row r="34" spans="1:8" ht="15" customHeight="1" x14ac:dyDescent="0.25">
      <c r="A34" s="151" t="s">
        <v>70</v>
      </c>
      <c r="B34" s="152"/>
      <c r="C34" s="152"/>
      <c r="D34" s="153"/>
      <c r="E34" s="57">
        <f>E19/6</f>
        <v>513.33333333333337</v>
      </c>
      <c r="F34" s="58"/>
      <c r="G34" s="58"/>
      <c r="H34" s="58"/>
    </row>
    <row r="35" spans="1:8" ht="15.75" customHeight="1" x14ac:dyDescent="0.25">
      <c r="A35" s="17"/>
      <c r="B35" s="17"/>
      <c r="C35" s="17"/>
      <c r="D35" s="17"/>
      <c r="E35" s="17"/>
      <c r="F35" s="17"/>
      <c r="G35" s="17"/>
      <c r="H35" s="17"/>
    </row>
    <row r="36" spans="1:8" ht="15.75" customHeight="1" x14ac:dyDescent="0.25">
      <c r="A36" s="17"/>
      <c r="B36" s="17"/>
      <c r="C36" s="17"/>
      <c r="D36" s="17"/>
      <c r="E36" s="17"/>
      <c r="F36" s="17"/>
      <c r="G36" s="17"/>
      <c r="H36" s="17"/>
    </row>
    <row r="37" spans="1:8" ht="15.75" customHeight="1" x14ac:dyDescent="0.25">
      <c r="A37" s="17"/>
      <c r="B37" s="17"/>
      <c r="C37" s="17"/>
      <c r="D37" s="17"/>
      <c r="E37" s="17"/>
      <c r="F37" s="17"/>
      <c r="G37" s="17"/>
      <c r="H37" s="17"/>
    </row>
    <row r="38" spans="1:8" ht="15.75" customHeight="1" x14ac:dyDescent="0.25">
      <c r="A38" s="17"/>
      <c r="B38" s="17"/>
      <c r="C38" s="17"/>
      <c r="D38" s="17"/>
      <c r="E38" s="17"/>
      <c r="F38" s="17"/>
      <c r="G38" s="17"/>
      <c r="H38" s="17"/>
    </row>
    <row r="39" spans="1:8" ht="15.75" customHeight="1" x14ac:dyDescent="0.25">
      <c r="A39" s="17"/>
      <c r="B39" s="17"/>
      <c r="C39" s="17"/>
      <c r="D39" s="17"/>
      <c r="E39" s="17"/>
      <c r="F39" s="17"/>
      <c r="G39" s="17"/>
      <c r="H39" s="17"/>
    </row>
    <row r="40" spans="1:8" ht="15.75" customHeight="1" x14ac:dyDescent="0.25">
      <c r="A40" s="17"/>
      <c r="B40" s="17"/>
      <c r="C40" s="17"/>
      <c r="D40" s="17"/>
      <c r="E40" s="17"/>
      <c r="F40" s="17"/>
      <c r="G40" s="17"/>
      <c r="H40" s="17"/>
    </row>
    <row r="41" spans="1:8" ht="15.75" customHeight="1" x14ac:dyDescent="0.25">
      <c r="A41" s="17"/>
      <c r="B41" s="17"/>
      <c r="C41" s="17"/>
      <c r="D41" s="17"/>
      <c r="E41" s="17"/>
      <c r="F41" s="17"/>
      <c r="G41" s="17"/>
      <c r="H41" s="17"/>
    </row>
    <row r="42" spans="1:8" ht="15.75" customHeight="1" x14ac:dyDescent="0.25">
      <c r="A42" s="17"/>
      <c r="B42" s="17"/>
      <c r="C42" s="17"/>
      <c r="D42" s="17"/>
      <c r="E42" s="17"/>
      <c r="F42" s="17"/>
      <c r="G42" s="17"/>
      <c r="H42" s="17"/>
    </row>
    <row r="43" spans="1:8" ht="15.75" customHeight="1" x14ac:dyDescent="0.25">
      <c r="A43" s="17"/>
      <c r="B43" s="17"/>
      <c r="C43" s="17"/>
      <c r="D43" s="17"/>
      <c r="E43" s="17"/>
      <c r="F43" s="17"/>
      <c r="G43" s="17"/>
      <c r="H43" s="17"/>
    </row>
    <row r="44" spans="1:8" ht="15.75" customHeight="1" x14ac:dyDescent="0.25">
      <c r="A44" s="17"/>
      <c r="B44" s="17"/>
      <c r="C44" s="17"/>
      <c r="D44" s="17"/>
      <c r="E44" s="17"/>
      <c r="F44" s="17"/>
      <c r="G44" s="17"/>
      <c r="H44" s="17"/>
    </row>
    <row r="45" spans="1:8" ht="15.75" customHeight="1" x14ac:dyDescent="0.25">
      <c r="A45" s="17"/>
      <c r="B45" s="17"/>
      <c r="C45" s="17"/>
      <c r="D45" s="17"/>
      <c r="E45" s="17"/>
      <c r="F45" s="17"/>
      <c r="G45" s="17"/>
      <c r="H45" s="17"/>
    </row>
    <row r="46" spans="1:8" ht="15.75" customHeight="1" x14ac:dyDescent="0.25">
      <c r="A46" s="17"/>
      <c r="B46" s="17"/>
      <c r="C46" s="17"/>
      <c r="D46" s="17"/>
      <c r="E46" s="17"/>
      <c r="F46" s="17"/>
      <c r="G46" s="17"/>
      <c r="H46" s="17"/>
    </row>
    <row r="47" spans="1:8" ht="15.75" customHeight="1" x14ac:dyDescent="0.25">
      <c r="A47" s="17"/>
      <c r="B47" s="17"/>
      <c r="C47" s="17"/>
      <c r="D47" s="17"/>
      <c r="E47" s="17"/>
      <c r="F47" s="17"/>
      <c r="G47" s="17"/>
      <c r="H47" s="17"/>
    </row>
    <row r="48" spans="1:8" ht="15.75" customHeight="1" x14ac:dyDescent="0.25">
      <c r="A48" s="17"/>
      <c r="B48" s="17"/>
      <c r="C48" s="17"/>
      <c r="D48" s="17"/>
      <c r="E48" s="17"/>
      <c r="F48" s="17"/>
      <c r="G48" s="17"/>
      <c r="H48" s="17"/>
    </row>
    <row r="49" spans="1:8" ht="15.75" customHeight="1" x14ac:dyDescent="0.25">
      <c r="A49" s="17"/>
      <c r="B49" s="17"/>
      <c r="C49" s="17"/>
      <c r="D49" s="17"/>
      <c r="E49" s="17"/>
      <c r="F49" s="17"/>
      <c r="G49" s="17"/>
      <c r="H49" s="17"/>
    </row>
    <row r="50" spans="1:8" ht="15.75" customHeight="1" x14ac:dyDescent="0.25">
      <c r="A50" s="17"/>
      <c r="B50" s="17"/>
      <c r="C50" s="17"/>
      <c r="D50" s="17"/>
      <c r="E50" s="17"/>
      <c r="F50" s="17"/>
      <c r="G50" s="17"/>
      <c r="H50" s="17"/>
    </row>
    <row r="51" spans="1:8" ht="15.75" customHeight="1" x14ac:dyDescent="0.25">
      <c r="A51" s="17"/>
      <c r="B51" s="17"/>
      <c r="C51" s="17"/>
      <c r="D51" s="17"/>
      <c r="E51" s="17"/>
      <c r="F51" s="17"/>
      <c r="G51" s="17"/>
      <c r="H51" s="17"/>
    </row>
    <row r="52" spans="1:8" ht="15.75" customHeight="1" x14ac:dyDescent="0.25">
      <c r="A52" s="17"/>
      <c r="B52" s="17"/>
      <c r="C52" s="17"/>
      <c r="D52" s="17"/>
      <c r="E52" s="17"/>
      <c r="F52" s="17"/>
      <c r="G52" s="17"/>
      <c r="H52" s="17"/>
    </row>
    <row r="53" spans="1:8" ht="15.75" customHeight="1" x14ac:dyDescent="0.25">
      <c r="A53" s="17"/>
      <c r="B53" s="17"/>
      <c r="C53" s="17"/>
      <c r="D53" s="17"/>
      <c r="E53" s="17"/>
      <c r="F53" s="17"/>
      <c r="G53" s="17"/>
      <c r="H53" s="17"/>
    </row>
    <row r="54" spans="1:8" ht="15.75" customHeight="1" x14ac:dyDescent="0.25">
      <c r="A54" s="17"/>
      <c r="B54" s="17"/>
      <c r="C54" s="17"/>
      <c r="D54" s="17"/>
      <c r="E54" s="17"/>
      <c r="F54" s="17"/>
      <c r="G54" s="17"/>
      <c r="H54" s="17"/>
    </row>
    <row r="55" spans="1:8" ht="15.75" customHeight="1" x14ac:dyDescent="0.25">
      <c r="A55" s="17"/>
      <c r="B55" s="17"/>
      <c r="C55" s="17"/>
      <c r="D55" s="17"/>
      <c r="E55" s="17"/>
      <c r="F55" s="17"/>
      <c r="G55" s="17"/>
      <c r="H55" s="17"/>
    </row>
    <row r="56" spans="1:8" ht="15.75" customHeight="1" x14ac:dyDescent="0.25">
      <c r="A56" s="17"/>
      <c r="B56" s="17"/>
      <c r="C56" s="17"/>
      <c r="D56" s="17"/>
      <c r="E56" s="17"/>
      <c r="F56" s="17"/>
      <c r="G56" s="17"/>
      <c r="H56" s="17"/>
    </row>
    <row r="57" spans="1:8" ht="15.75" customHeight="1" x14ac:dyDescent="0.25">
      <c r="A57" s="17"/>
      <c r="B57" s="17"/>
      <c r="C57" s="17"/>
      <c r="D57" s="17"/>
      <c r="E57" s="17"/>
      <c r="F57" s="17"/>
      <c r="G57" s="17"/>
      <c r="H57" s="17"/>
    </row>
    <row r="58" spans="1:8" ht="15.75" customHeight="1" x14ac:dyDescent="0.25">
      <c r="A58" s="17"/>
      <c r="B58" s="17"/>
      <c r="C58" s="17"/>
      <c r="D58" s="17"/>
      <c r="E58" s="17"/>
      <c r="F58" s="17"/>
      <c r="G58" s="17"/>
      <c r="H58" s="17"/>
    </row>
    <row r="59" spans="1:8" ht="15.75" customHeight="1" x14ac:dyDescent="0.25">
      <c r="A59" s="17"/>
      <c r="B59" s="17"/>
      <c r="C59" s="17"/>
      <c r="D59" s="17"/>
      <c r="E59" s="17"/>
      <c r="F59" s="17"/>
      <c r="G59" s="17"/>
      <c r="H59" s="17"/>
    </row>
    <row r="60" spans="1:8" ht="15.75" customHeight="1" x14ac:dyDescent="0.25">
      <c r="A60" s="17"/>
      <c r="B60" s="17"/>
      <c r="C60" s="17"/>
      <c r="D60" s="17"/>
      <c r="E60" s="17"/>
      <c r="F60" s="17"/>
      <c r="G60" s="17"/>
      <c r="H60" s="17"/>
    </row>
    <row r="61" spans="1:8" ht="15.75" customHeight="1" x14ac:dyDescent="0.25">
      <c r="A61" s="17"/>
      <c r="B61" s="17"/>
      <c r="C61" s="17"/>
      <c r="D61" s="17"/>
      <c r="E61" s="17"/>
      <c r="F61" s="17"/>
      <c r="G61" s="17"/>
      <c r="H61" s="17"/>
    </row>
    <row r="62" spans="1:8" ht="15.75" customHeight="1" x14ac:dyDescent="0.25">
      <c r="A62" s="17"/>
      <c r="B62" s="17"/>
      <c r="C62" s="17"/>
      <c r="D62" s="17"/>
      <c r="E62" s="17"/>
      <c r="F62" s="17"/>
      <c r="G62" s="17"/>
      <c r="H62" s="17"/>
    </row>
    <row r="63" spans="1:8" ht="15.75" customHeight="1" x14ac:dyDescent="0.25">
      <c r="A63" s="17"/>
      <c r="B63" s="17"/>
      <c r="C63" s="17"/>
      <c r="D63" s="17"/>
      <c r="E63" s="17"/>
      <c r="F63" s="17"/>
      <c r="G63" s="17"/>
      <c r="H63" s="17"/>
    </row>
    <row r="64" spans="1:8" ht="15.75" customHeight="1" x14ac:dyDescent="0.25">
      <c r="A64" s="17"/>
      <c r="B64" s="17"/>
      <c r="C64" s="17"/>
      <c r="D64" s="17"/>
      <c r="E64" s="17"/>
      <c r="F64" s="17"/>
      <c r="G64" s="17"/>
      <c r="H64" s="17"/>
    </row>
    <row r="65" spans="1:8" ht="15.75" customHeight="1" x14ac:dyDescent="0.25">
      <c r="A65" s="17"/>
      <c r="B65" s="17"/>
      <c r="C65" s="17"/>
      <c r="D65" s="17"/>
      <c r="E65" s="17"/>
      <c r="F65" s="17"/>
      <c r="G65" s="17"/>
      <c r="H65" s="17"/>
    </row>
    <row r="66" spans="1:8" ht="15.75" customHeight="1" x14ac:dyDescent="0.25">
      <c r="A66" s="17"/>
      <c r="B66" s="17"/>
      <c r="C66" s="17"/>
      <c r="D66" s="17"/>
      <c r="E66" s="17"/>
      <c r="F66" s="17"/>
      <c r="G66" s="17"/>
      <c r="H66" s="17"/>
    </row>
    <row r="67" spans="1:8" ht="15.75" customHeight="1" x14ac:dyDescent="0.25">
      <c r="A67" s="17"/>
      <c r="B67" s="17"/>
      <c r="C67" s="17"/>
      <c r="D67" s="17"/>
      <c r="E67" s="17"/>
      <c r="F67" s="17"/>
      <c r="G67" s="17"/>
      <c r="H67" s="17"/>
    </row>
    <row r="68" spans="1:8" ht="15.75" customHeight="1" x14ac:dyDescent="0.25">
      <c r="A68" s="17"/>
      <c r="B68" s="17"/>
      <c r="C68" s="17"/>
      <c r="D68" s="17"/>
      <c r="E68" s="17"/>
      <c r="F68" s="17"/>
      <c r="G68" s="17"/>
      <c r="H68" s="17"/>
    </row>
    <row r="69" spans="1:8" ht="15.75" customHeight="1" x14ac:dyDescent="0.25">
      <c r="A69" s="17"/>
      <c r="B69" s="17"/>
      <c r="C69" s="17"/>
      <c r="D69" s="17"/>
      <c r="E69" s="17"/>
      <c r="F69" s="17"/>
      <c r="G69" s="17"/>
      <c r="H69" s="17"/>
    </row>
    <row r="70" spans="1:8" ht="15.75" customHeight="1" x14ac:dyDescent="0.25">
      <c r="A70" s="17"/>
      <c r="B70" s="17"/>
      <c r="C70" s="17"/>
      <c r="D70" s="17"/>
      <c r="E70" s="17"/>
      <c r="F70" s="17"/>
      <c r="G70" s="17"/>
      <c r="H70" s="17"/>
    </row>
    <row r="71" spans="1:8" ht="15.75" customHeight="1" x14ac:dyDescent="0.25">
      <c r="A71" s="17"/>
      <c r="B71" s="17"/>
      <c r="C71" s="17"/>
      <c r="D71" s="17"/>
      <c r="E71" s="17"/>
      <c r="F71" s="17"/>
      <c r="G71" s="17"/>
      <c r="H71" s="17"/>
    </row>
    <row r="72" spans="1:8" ht="15.75" customHeight="1" x14ac:dyDescent="0.25">
      <c r="A72" s="17"/>
      <c r="B72" s="17"/>
      <c r="C72" s="17"/>
      <c r="D72" s="17"/>
      <c r="E72" s="17"/>
      <c r="F72" s="17"/>
      <c r="G72" s="17"/>
      <c r="H72" s="17"/>
    </row>
    <row r="73" spans="1:8" ht="15.75" customHeight="1" x14ac:dyDescent="0.25">
      <c r="A73" s="17"/>
      <c r="B73" s="17"/>
      <c r="C73" s="17"/>
      <c r="D73" s="17"/>
      <c r="E73" s="17"/>
      <c r="F73" s="17"/>
      <c r="G73" s="17"/>
      <c r="H73" s="17"/>
    </row>
    <row r="74" spans="1:8" ht="15.75" customHeight="1" x14ac:dyDescent="0.25">
      <c r="A74" s="17"/>
      <c r="B74" s="17"/>
      <c r="C74" s="17"/>
      <c r="D74" s="17"/>
      <c r="E74" s="17"/>
      <c r="F74" s="17"/>
      <c r="G74" s="17"/>
      <c r="H74" s="17"/>
    </row>
    <row r="75" spans="1:8" ht="15.75" customHeight="1" x14ac:dyDescent="0.25">
      <c r="A75" s="17"/>
      <c r="B75" s="17"/>
      <c r="C75" s="17"/>
      <c r="D75" s="17"/>
      <c r="E75" s="17"/>
      <c r="F75" s="17"/>
      <c r="G75" s="17"/>
      <c r="H75" s="17"/>
    </row>
    <row r="76" spans="1:8" ht="15.75" customHeight="1" x14ac:dyDescent="0.25">
      <c r="A76" s="17"/>
      <c r="B76" s="17"/>
      <c r="C76" s="17"/>
      <c r="D76" s="17"/>
      <c r="E76" s="17"/>
      <c r="F76" s="17"/>
      <c r="G76" s="17"/>
      <c r="H76" s="17"/>
    </row>
    <row r="77" spans="1:8" ht="15.75" customHeight="1" x14ac:dyDescent="0.25">
      <c r="A77" s="17"/>
      <c r="B77" s="17"/>
      <c r="C77" s="17"/>
      <c r="D77" s="17"/>
      <c r="E77" s="17"/>
      <c r="F77" s="17"/>
      <c r="G77" s="17"/>
      <c r="H77" s="17"/>
    </row>
    <row r="78" spans="1:8" ht="15.75" customHeight="1" x14ac:dyDescent="0.25">
      <c r="A78" s="17"/>
      <c r="B78" s="17"/>
      <c r="C78" s="17"/>
      <c r="D78" s="17"/>
      <c r="E78" s="17"/>
      <c r="F78" s="17"/>
      <c r="G78" s="17"/>
      <c r="H78" s="17"/>
    </row>
    <row r="79" spans="1:8" ht="15.75" customHeight="1" x14ac:dyDescent="0.25">
      <c r="A79" s="17"/>
      <c r="B79" s="17"/>
      <c r="C79" s="17"/>
      <c r="D79" s="17"/>
      <c r="E79" s="17"/>
      <c r="F79" s="17"/>
      <c r="G79" s="17"/>
      <c r="H79" s="17"/>
    </row>
    <row r="80" spans="1:8" ht="15.75" customHeight="1" x14ac:dyDescent="0.25">
      <c r="A80" s="17"/>
      <c r="B80" s="17"/>
      <c r="C80" s="17"/>
      <c r="D80" s="17"/>
      <c r="E80" s="17"/>
      <c r="F80" s="17"/>
      <c r="G80" s="17"/>
      <c r="H80" s="17"/>
    </row>
    <row r="81" spans="1:8" ht="15.75" customHeight="1" x14ac:dyDescent="0.25">
      <c r="A81" s="17"/>
      <c r="B81" s="17"/>
      <c r="C81" s="17"/>
      <c r="D81" s="17"/>
      <c r="E81" s="17"/>
      <c r="F81" s="17"/>
      <c r="G81" s="17"/>
      <c r="H81" s="17"/>
    </row>
    <row r="82" spans="1:8" ht="15.75" customHeight="1" x14ac:dyDescent="0.25">
      <c r="A82" s="17"/>
      <c r="B82" s="17"/>
      <c r="C82" s="17"/>
      <c r="D82" s="17"/>
      <c r="E82" s="17"/>
      <c r="F82" s="17"/>
      <c r="G82" s="17"/>
      <c r="H82" s="17"/>
    </row>
    <row r="83" spans="1:8" ht="15.75" customHeight="1" x14ac:dyDescent="0.25">
      <c r="A83" s="17"/>
      <c r="B83" s="17"/>
      <c r="C83" s="17"/>
      <c r="D83" s="17"/>
      <c r="E83" s="17"/>
      <c r="F83" s="17"/>
      <c r="G83" s="17"/>
      <c r="H83" s="17"/>
    </row>
    <row r="84" spans="1:8" ht="15.75" customHeight="1" x14ac:dyDescent="0.25">
      <c r="A84" s="17"/>
      <c r="B84" s="17"/>
      <c r="C84" s="17"/>
      <c r="D84" s="17"/>
      <c r="E84" s="17"/>
      <c r="F84" s="17"/>
      <c r="G84" s="17"/>
      <c r="H84" s="17"/>
    </row>
    <row r="85" spans="1:8" ht="15.75" customHeight="1" x14ac:dyDescent="0.25">
      <c r="A85" s="17"/>
      <c r="B85" s="17"/>
      <c r="C85" s="17"/>
      <c r="D85" s="17"/>
      <c r="E85" s="17"/>
      <c r="F85" s="17"/>
      <c r="G85" s="17"/>
      <c r="H85" s="17"/>
    </row>
    <row r="86" spans="1:8" ht="15.75" customHeight="1" x14ac:dyDescent="0.25">
      <c r="A86" s="17"/>
      <c r="B86" s="17"/>
      <c r="C86" s="17"/>
      <c r="D86" s="17"/>
      <c r="E86" s="17"/>
      <c r="F86" s="17"/>
      <c r="G86" s="17"/>
      <c r="H86" s="17"/>
    </row>
    <row r="87" spans="1:8" ht="15.75" customHeight="1" x14ac:dyDescent="0.25">
      <c r="A87" s="17"/>
      <c r="B87" s="17"/>
      <c r="C87" s="17"/>
      <c r="D87" s="17"/>
      <c r="E87" s="17"/>
      <c r="F87" s="17"/>
      <c r="G87" s="17"/>
      <c r="H87" s="17"/>
    </row>
    <row r="88" spans="1:8" ht="15.75" customHeight="1" x14ac:dyDescent="0.25">
      <c r="A88" s="17"/>
      <c r="B88" s="17"/>
      <c r="C88" s="17"/>
      <c r="D88" s="17"/>
      <c r="E88" s="17"/>
      <c r="F88" s="17"/>
      <c r="G88" s="17"/>
      <c r="H88" s="17"/>
    </row>
    <row r="89" spans="1:8" ht="15.75" customHeight="1" x14ac:dyDescent="0.25">
      <c r="A89" s="17"/>
      <c r="B89" s="17"/>
      <c r="C89" s="17"/>
      <c r="D89" s="17"/>
      <c r="E89" s="17"/>
      <c r="F89" s="17"/>
      <c r="G89" s="17"/>
      <c r="H89" s="17"/>
    </row>
    <row r="90" spans="1:8" ht="15.75" customHeight="1" x14ac:dyDescent="0.25">
      <c r="A90" s="17"/>
      <c r="B90" s="17"/>
      <c r="C90" s="17"/>
      <c r="D90" s="17"/>
      <c r="E90" s="17"/>
      <c r="F90" s="17"/>
      <c r="G90" s="17"/>
      <c r="H90" s="17"/>
    </row>
    <row r="91" spans="1:8" ht="15.75" customHeight="1" x14ac:dyDescent="0.25">
      <c r="A91" s="17"/>
      <c r="B91" s="17"/>
      <c r="C91" s="17"/>
      <c r="D91" s="17"/>
      <c r="E91" s="17"/>
      <c r="F91" s="17"/>
      <c r="G91" s="17"/>
      <c r="H91" s="17"/>
    </row>
    <row r="92" spans="1:8" ht="15.75" customHeight="1" x14ac:dyDescent="0.25">
      <c r="A92" s="17"/>
      <c r="B92" s="17"/>
      <c r="C92" s="17"/>
      <c r="D92" s="17"/>
      <c r="E92" s="17"/>
      <c r="F92" s="17"/>
      <c r="G92" s="17"/>
      <c r="H92" s="17"/>
    </row>
    <row r="93" spans="1:8" ht="15.75" customHeight="1" x14ac:dyDescent="0.25">
      <c r="A93" s="17"/>
      <c r="B93" s="17"/>
      <c r="C93" s="17"/>
      <c r="D93" s="17"/>
      <c r="E93" s="17"/>
      <c r="F93" s="17"/>
      <c r="G93" s="17"/>
      <c r="H93" s="17"/>
    </row>
    <row r="94" spans="1:8" ht="15.75" customHeight="1" x14ac:dyDescent="0.25">
      <c r="A94" s="17"/>
      <c r="B94" s="17"/>
      <c r="C94" s="17"/>
      <c r="D94" s="17"/>
      <c r="E94" s="17"/>
      <c r="F94" s="17"/>
      <c r="G94" s="17"/>
      <c r="H94" s="17"/>
    </row>
    <row r="95" spans="1:8" ht="15.75" customHeight="1" x14ac:dyDescent="0.25">
      <c r="A95" s="17"/>
      <c r="B95" s="17"/>
      <c r="C95" s="17"/>
      <c r="D95" s="17"/>
      <c r="E95" s="17"/>
      <c r="F95" s="17"/>
      <c r="G95" s="17"/>
      <c r="H95" s="17"/>
    </row>
    <row r="96" spans="1:8" ht="15.75" customHeight="1" x14ac:dyDescent="0.25">
      <c r="A96" s="17"/>
      <c r="B96" s="17"/>
      <c r="C96" s="17"/>
      <c r="D96" s="17"/>
      <c r="E96" s="17"/>
      <c r="F96" s="17"/>
      <c r="G96" s="17"/>
      <c r="H96" s="17"/>
    </row>
    <row r="97" spans="1:8" ht="15.75" customHeight="1" x14ac:dyDescent="0.25">
      <c r="A97" s="17"/>
      <c r="B97" s="17"/>
      <c r="C97" s="17"/>
      <c r="D97" s="17"/>
      <c r="E97" s="17"/>
      <c r="F97" s="17"/>
      <c r="G97" s="17"/>
      <c r="H97" s="17"/>
    </row>
    <row r="98" spans="1:8" ht="15.75" customHeight="1" x14ac:dyDescent="0.25">
      <c r="A98" s="17"/>
      <c r="B98" s="17"/>
      <c r="C98" s="17"/>
      <c r="D98" s="17"/>
      <c r="E98" s="17"/>
      <c r="F98" s="17"/>
      <c r="G98" s="17"/>
      <c r="H98" s="17"/>
    </row>
    <row r="99" spans="1:8" ht="15.75" customHeight="1" x14ac:dyDescent="0.25">
      <c r="A99" s="17"/>
      <c r="B99" s="17"/>
      <c r="C99" s="17"/>
      <c r="D99" s="17"/>
      <c r="E99" s="17"/>
      <c r="F99" s="17"/>
      <c r="G99" s="17"/>
      <c r="H99" s="17"/>
    </row>
    <row r="100" spans="1:8" ht="15.75" customHeight="1" x14ac:dyDescent="0.25">
      <c r="A100" s="17"/>
      <c r="B100" s="17"/>
      <c r="C100" s="17"/>
      <c r="D100" s="17"/>
      <c r="E100" s="17"/>
      <c r="F100" s="17"/>
      <c r="G100" s="17"/>
      <c r="H100" s="17"/>
    </row>
  </sheetData>
  <mergeCells count="19">
    <mergeCell ref="A1:H1"/>
    <mergeCell ref="A2:B2"/>
    <mergeCell ref="C2:D2"/>
    <mergeCell ref="E2:F2"/>
    <mergeCell ref="G2:H2"/>
    <mergeCell ref="A5:H5"/>
    <mergeCell ref="A32:D32"/>
    <mergeCell ref="A33:D33"/>
    <mergeCell ref="A34:D34"/>
    <mergeCell ref="C3:D3"/>
    <mergeCell ref="A17:D17"/>
    <mergeCell ref="A18:D18"/>
    <mergeCell ref="A19:D19"/>
    <mergeCell ref="A21:H21"/>
    <mergeCell ref="A29:D29"/>
    <mergeCell ref="A31:H31"/>
    <mergeCell ref="E3:F3"/>
    <mergeCell ref="G3:H3"/>
    <mergeCell ref="A3:B3"/>
  </mergeCells>
  <pageMargins left="0.75" right="0.75" top="1" bottom="1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26A69A"/>
  </sheetPr>
  <dimension ref="A1:H1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10" customWidth="1"/>
    <col min="2" max="2" width="26" customWidth="1"/>
    <col min="3" max="7" width="16" customWidth="1"/>
    <col min="8" max="8" width="20" customWidth="1"/>
  </cols>
  <sheetData>
    <row r="1" spans="1:8" ht="27.75" customHeight="1" x14ac:dyDescent="0.25">
      <c r="A1" s="163" t="s">
        <v>171</v>
      </c>
      <c r="B1" s="146"/>
      <c r="C1" s="146"/>
      <c r="D1" s="146"/>
      <c r="E1" s="146"/>
      <c r="F1" s="146"/>
      <c r="G1" s="146"/>
      <c r="H1" s="147"/>
    </row>
    <row r="2" spans="1:8" ht="18" customHeight="1" x14ac:dyDescent="0.25">
      <c r="A2" s="164" t="s">
        <v>34</v>
      </c>
      <c r="B2" s="147"/>
      <c r="C2" s="164" t="s">
        <v>35</v>
      </c>
      <c r="D2" s="147"/>
      <c r="E2" s="164" t="s">
        <v>36</v>
      </c>
      <c r="F2" s="147"/>
      <c r="G2" s="164" t="s">
        <v>37</v>
      </c>
      <c r="H2" s="147"/>
    </row>
    <row r="3" spans="1:8" ht="21.75" customHeight="1" x14ac:dyDescent="0.25">
      <c r="A3" s="162">
        <f>E29</f>
        <v>4275</v>
      </c>
      <c r="B3" s="147"/>
      <c r="C3" s="154">
        <f>E19</f>
        <v>3080</v>
      </c>
      <c r="D3" s="147"/>
      <c r="E3" s="160">
        <f>E29-E19</f>
        <v>1195</v>
      </c>
      <c r="F3" s="147"/>
      <c r="G3" s="161">
        <f>IF(E29&gt;0,(E29-E19)/E29,0)</f>
        <v>0.27953216374269008</v>
      </c>
      <c r="H3" s="147"/>
    </row>
    <row r="4" spans="1:8" ht="14.25" customHeight="1" x14ac:dyDescent="0.25">
      <c r="A4" s="17"/>
      <c r="B4" s="17"/>
      <c r="C4" s="17"/>
      <c r="D4" s="17"/>
      <c r="E4" s="17"/>
      <c r="F4" s="17"/>
      <c r="G4" s="17"/>
      <c r="H4" s="17"/>
    </row>
    <row r="5" spans="1:8" ht="19.5" customHeight="1" x14ac:dyDescent="0.25">
      <c r="A5" s="150" t="s">
        <v>172</v>
      </c>
      <c r="B5" s="146"/>
      <c r="C5" s="146"/>
      <c r="D5" s="146"/>
      <c r="E5" s="146"/>
      <c r="F5" s="146"/>
      <c r="G5" s="146"/>
      <c r="H5" s="147"/>
    </row>
    <row r="6" spans="1:8" ht="15" customHeight="1" x14ac:dyDescent="0.25">
      <c r="A6" s="36" t="s">
        <v>22</v>
      </c>
      <c r="B6" s="36" t="s">
        <v>39</v>
      </c>
      <c r="C6" s="36" t="s">
        <v>40</v>
      </c>
      <c r="D6" s="36" t="s">
        <v>41</v>
      </c>
      <c r="E6" s="36" t="s">
        <v>42</v>
      </c>
      <c r="F6" s="36" t="s">
        <v>43</v>
      </c>
      <c r="G6" s="36" t="s">
        <v>44</v>
      </c>
      <c r="H6" s="36"/>
    </row>
    <row r="7" spans="1:8" ht="15" customHeight="1" x14ac:dyDescent="0.25">
      <c r="A7" s="37" t="s">
        <v>173</v>
      </c>
      <c r="B7" s="38" t="s">
        <v>46</v>
      </c>
      <c r="C7" s="37" t="s">
        <v>167</v>
      </c>
      <c r="D7" s="37" t="s">
        <v>48</v>
      </c>
      <c r="E7" s="39">
        <v>86</v>
      </c>
      <c r="F7" s="37"/>
      <c r="G7" s="37"/>
      <c r="H7" s="37"/>
    </row>
    <row r="8" spans="1:8" ht="15" customHeight="1" x14ac:dyDescent="0.25">
      <c r="A8" s="40" t="s">
        <v>173</v>
      </c>
      <c r="B8" s="41" t="s">
        <v>49</v>
      </c>
      <c r="C8" s="40"/>
      <c r="D8" s="40" t="s">
        <v>50</v>
      </c>
      <c r="E8" s="42">
        <v>216</v>
      </c>
      <c r="F8" s="40"/>
      <c r="G8" s="40"/>
      <c r="H8" s="40"/>
    </row>
    <row r="9" spans="1:8" ht="15" customHeight="1" x14ac:dyDescent="0.25">
      <c r="A9" s="37" t="s">
        <v>173</v>
      </c>
      <c r="B9" s="38" t="s">
        <v>51</v>
      </c>
      <c r="C9" s="37"/>
      <c r="D9" s="37" t="s">
        <v>50</v>
      </c>
      <c r="E9" s="39">
        <v>230</v>
      </c>
      <c r="F9" s="37"/>
      <c r="G9" s="37"/>
      <c r="H9" s="37"/>
    </row>
    <row r="10" spans="1:8" ht="15" customHeight="1" x14ac:dyDescent="0.25">
      <c r="A10" s="40" t="s">
        <v>173</v>
      </c>
      <c r="B10" s="41" t="s">
        <v>52</v>
      </c>
      <c r="C10" s="40"/>
      <c r="D10" s="40" t="s">
        <v>50</v>
      </c>
      <c r="E10" s="42">
        <v>95</v>
      </c>
      <c r="F10" s="40"/>
      <c r="G10" s="40"/>
      <c r="H10" s="40"/>
    </row>
    <row r="11" spans="1:8" ht="15" customHeight="1" x14ac:dyDescent="0.25">
      <c r="A11" s="37" t="s">
        <v>173</v>
      </c>
      <c r="B11" s="38" t="s">
        <v>53</v>
      </c>
      <c r="C11" s="37"/>
      <c r="D11" s="37" t="s">
        <v>50</v>
      </c>
      <c r="E11" s="39">
        <v>120</v>
      </c>
      <c r="F11" s="37"/>
      <c r="G11" s="37"/>
      <c r="H11" s="37"/>
    </row>
    <row r="12" spans="1:8" ht="15" customHeight="1" x14ac:dyDescent="0.25">
      <c r="A12" s="40" t="s">
        <v>173</v>
      </c>
      <c r="B12" s="41" t="s">
        <v>54</v>
      </c>
      <c r="C12" s="40"/>
      <c r="D12" s="40" t="s">
        <v>50</v>
      </c>
      <c r="E12" s="42">
        <v>288</v>
      </c>
      <c r="F12" s="40"/>
      <c r="G12" s="40"/>
      <c r="H12" s="40"/>
    </row>
    <row r="13" spans="1:8" ht="15" customHeight="1" x14ac:dyDescent="0.25">
      <c r="A13" s="37" t="s">
        <v>173</v>
      </c>
      <c r="B13" s="38" t="s">
        <v>55</v>
      </c>
      <c r="C13" s="37"/>
      <c r="D13" s="37" t="s">
        <v>50</v>
      </c>
      <c r="E13" s="39">
        <v>135</v>
      </c>
      <c r="F13" s="37"/>
      <c r="G13" s="37"/>
      <c r="H13" s="37"/>
    </row>
    <row r="14" spans="1:8" ht="15" customHeight="1" x14ac:dyDescent="0.25">
      <c r="A14" s="40" t="s">
        <v>174</v>
      </c>
      <c r="B14" s="40" t="s">
        <v>126</v>
      </c>
      <c r="C14" s="31"/>
      <c r="D14" s="40" t="s">
        <v>50</v>
      </c>
      <c r="E14" s="107">
        <f>'💳 Empréstimo'!F19</f>
        <v>560</v>
      </c>
      <c r="F14" s="31"/>
      <c r="G14" s="40" t="s">
        <v>175</v>
      </c>
      <c r="H14" s="31"/>
    </row>
    <row r="15" spans="1:8" ht="15" customHeight="1" x14ac:dyDescent="0.25">
      <c r="A15" s="31"/>
      <c r="B15" s="31"/>
      <c r="C15" s="31"/>
      <c r="D15" s="31"/>
      <c r="E15" s="29"/>
      <c r="F15" s="31"/>
      <c r="G15" s="31"/>
      <c r="H15" s="31"/>
    </row>
    <row r="16" spans="1:8" ht="15" customHeight="1" x14ac:dyDescent="0.25">
      <c r="A16" s="31"/>
      <c r="B16" s="31"/>
      <c r="C16" s="31"/>
      <c r="D16" s="31"/>
      <c r="E16" s="29"/>
      <c r="F16" s="31"/>
      <c r="G16" s="31"/>
      <c r="H16" s="31"/>
    </row>
    <row r="17" spans="1:8" ht="15" customHeight="1" x14ac:dyDescent="0.25">
      <c r="A17" s="155" t="s">
        <v>56</v>
      </c>
      <c r="B17" s="152"/>
      <c r="C17" s="152"/>
      <c r="D17" s="153"/>
      <c r="E17" s="43">
        <f>SUM(E7:E16)</f>
        <v>1730</v>
      </c>
      <c r="F17" s="44"/>
      <c r="G17" s="44"/>
      <c r="H17" s="44"/>
    </row>
    <row r="18" spans="1:8" ht="15" customHeight="1" x14ac:dyDescent="0.25">
      <c r="A18" s="156" t="s">
        <v>57</v>
      </c>
      <c r="B18" s="152"/>
      <c r="C18" s="152"/>
      <c r="D18" s="153"/>
      <c r="E18" s="45">
        <v>1350</v>
      </c>
      <c r="F18" s="44"/>
      <c r="G18" s="44"/>
      <c r="H18" s="44"/>
    </row>
    <row r="19" spans="1:8" ht="15" customHeight="1" x14ac:dyDescent="0.25">
      <c r="A19" s="157" t="s">
        <v>58</v>
      </c>
      <c r="B19" s="152"/>
      <c r="C19" s="152"/>
      <c r="D19" s="153"/>
      <c r="E19" s="46">
        <f>E17+E18</f>
        <v>3080</v>
      </c>
      <c r="F19" s="47"/>
      <c r="G19" s="47"/>
      <c r="H19" s="47"/>
    </row>
    <row r="20" spans="1:8" ht="14.25" customHeight="1" x14ac:dyDescent="0.25">
      <c r="A20" s="17"/>
      <c r="B20" s="17"/>
      <c r="C20" s="17"/>
      <c r="D20" s="17"/>
      <c r="E20" s="17"/>
      <c r="F20" s="17"/>
      <c r="G20" s="17"/>
      <c r="H20" s="17"/>
    </row>
    <row r="21" spans="1:8" ht="19.5" customHeight="1" x14ac:dyDescent="0.25">
      <c r="A21" s="158" t="s">
        <v>176</v>
      </c>
      <c r="B21" s="146"/>
      <c r="C21" s="146"/>
      <c r="D21" s="146"/>
      <c r="E21" s="146"/>
      <c r="F21" s="146"/>
      <c r="G21" s="146"/>
      <c r="H21" s="147"/>
    </row>
    <row r="22" spans="1:8" ht="15" customHeight="1" x14ac:dyDescent="0.25">
      <c r="A22" s="48" t="s">
        <v>22</v>
      </c>
      <c r="B22" s="48" t="s">
        <v>39</v>
      </c>
      <c r="C22" s="48" t="s">
        <v>40</v>
      </c>
      <c r="D22" s="48" t="s">
        <v>41</v>
      </c>
      <c r="E22" s="48" t="s">
        <v>42</v>
      </c>
      <c r="F22" s="48" t="s">
        <v>60</v>
      </c>
      <c r="G22" s="48" t="s">
        <v>44</v>
      </c>
      <c r="H22" s="48"/>
    </row>
    <row r="23" spans="1:8" ht="15" customHeight="1" x14ac:dyDescent="0.25">
      <c r="A23" s="49" t="s">
        <v>173</v>
      </c>
      <c r="B23" s="50" t="s">
        <v>61</v>
      </c>
      <c r="C23" s="49" t="s">
        <v>62</v>
      </c>
      <c r="D23" s="49" t="s">
        <v>50</v>
      </c>
      <c r="E23" s="51">
        <v>1475</v>
      </c>
      <c r="F23" s="49"/>
      <c r="G23" s="49"/>
      <c r="H23" s="49"/>
    </row>
    <row r="24" spans="1:8" ht="15" customHeight="1" x14ac:dyDescent="0.25">
      <c r="A24" s="52" t="s">
        <v>173</v>
      </c>
      <c r="B24" s="53" t="s">
        <v>63</v>
      </c>
      <c r="C24" s="52" t="s">
        <v>62</v>
      </c>
      <c r="D24" s="52" t="s">
        <v>50</v>
      </c>
      <c r="E24" s="54">
        <v>1300</v>
      </c>
      <c r="F24" s="52"/>
      <c r="G24" s="52"/>
      <c r="H24" s="52"/>
    </row>
    <row r="25" spans="1:8" ht="15" customHeight="1" x14ac:dyDescent="0.25">
      <c r="A25" s="49" t="s">
        <v>173</v>
      </c>
      <c r="B25" s="50" t="s">
        <v>64</v>
      </c>
      <c r="C25" s="49" t="s">
        <v>62</v>
      </c>
      <c r="D25" s="49" t="s">
        <v>50</v>
      </c>
      <c r="E25" s="51">
        <v>1500</v>
      </c>
      <c r="F25" s="49"/>
      <c r="G25" s="49"/>
      <c r="H25" s="49"/>
    </row>
    <row r="26" spans="1:8" ht="15" customHeight="1" x14ac:dyDescent="0.25">
      <c r="A26" s="52"/>
      <c r="B26" s="53"/>
      <c r="C26" s="52"/>
      <c r="D26" s="52"/>
      <c r="E26" s="54"/>
      <c r="F26" s="52"/>
      <c r="G26" s="52"/>
      <c r="H26" s="52"/>
    </row>
    <row r="27" spans="1:8" ht="15" customHeight="1" x14ac:dyDescent="0.25">
      <c r="A27" s="55"/>
      <c r="B27" s="55"/>
      <c r="C27" s="55"/>
      <c r="D27" s="55"/>
      <c r="E27" s="56"/>
      <c r="F27" s="55"/>
      <c r="G27" s="55"/>
      <c r="H27" s="55"/>
    </row>
    <row r="28" spans="1:8" ht="15" customHeight="1" x14ac:dyDescent="0.25">
      <c r="A28" s="55"/>
      <c r="B28" s="55"/>
      <c r="C28" s="55"/>
      <c r="D28" s="55"/>
      <c r="E28" s="56"/>
      <c r="F28" s="55"/>
      <c r="G28" s="55"/>
      <c r="H28" s="55"/>
    </row>
    <row r="29" spans="1:8" ht="15" customHeight="1" x14ac:dyDescent="0.25">
      <c r="A29" s="157" t="s">
        <v>66</v>
      </c>
      <c r="B29" s="152"/>
      <c r="C29" s="152"/>
      <c r="D29" s="153"/>
      <c r="E29" s="46">
        <f>SUM(E23:E28)</f>
        <v>4275</v>
      </c>
      <c r="F29" s="47"/>
      <c r="G29" s="47"/>
      <c r="H29" s="47"/>
    </row>
    <row r="30" spans="1:8" ht="15.75" customHeight="1" x14ac:dyDescent="0.25">
      <c r="A30" s="17"/>
      <c r="B30" s="17"/>
      <c r="C30" s="17"/>
      <c r="D30" s="17"/>
      <c r="E30" s="17"/>
      <c r="F30" s="17"/>
      <c r="G30" s="17"/>
      <c r="H30" s="17"/>
    </row>
    <row r="31" spans="1:8" ht="19.5" customHeight="1" x14ac:dyDescent="0.25">
      <c r="A31" s="159" t="s">
        <v>67</v>
      </c>
      <c r="B31" s="146"/>
      <c r="C31" s="146"/>
      <c r="D31" s="146"/>
      <c r="E31" s="146"/>
      <c r="F31" s="146"/>
      <c r="G31" s="146"/>
      <c r="H31" s="147"/>
    </row>
    <row r="32" spans="1:8" ht="15" customHeight="1" x14ac:dyDescent="0.25">
      <c r="A32" s="151" t="s">
        <v>68</v>
      </c>
      <c r="B32" s="152"/>
      <c r="C32" s="152"/>
      <c r="D32" s="153"/>
      <c r="E32" s="57">
        <f>E29-E19</f>
        <v>1195</v>
      </c>
      <c r="F32" s="58"/>
      <c r="G32" s="58"/>
      <c r="H32" s="58"/>
    </row>
    <row r="33" spans="1:8" ht="15" customHeight="1" x14ac:dyDescent="0.25">
      <c r="A33" s="151" t="s">
        <v>76</v>
      </c>
      <c r="B33" s="152"/>
      <c r="C33" s="152"/>
      <c r="D33" s="153"/>
      <c r="E33" s="57">
        <f>0.7*(E29-E19)</f>
        <v>836.5</v>
      </c>
      <c r="F33" s="58"/>
      <c r="G33" s="58"/>
      <c r="H33" s="58"/>
    </row>
    <row r="34" spans="1:8" ht="15" customHeight="1" x14ac:dyDescent="0.25">
      <c r="A34" s="151" t="s">
        <v>70</v>
      </c>
      <c r="B34" s="152"/>
      <c r="C34" s="152"/>
      <c r="D34" s="153"/>
      <c r="E34" s="57">
        <f>E19/6</f>
        <v>513.33333333333337</v>
      </c>
      <c r="F34" s="58"/>
      <c r="G34" s="58"/>
      <c r="H34" s="58"/>
    </row>
    <row r="35" spans="1:8" ht="15.75" customHeight="1" x14ac:dyDescent="0.25">
      <c r="A35" s="17"/>
      <c r="B35" s="17"/>
      <c r="C35" s="17"/>
      <c r="D35" s="17"/>
      <c r="E35" s="17"/>
      <c r="F35" s="17"/>
      <c r="G35" s="17"/>
      <c r="H35" s="17"/>
    </row>
    <row r="36" spans="1:8" ht="15.75" customHeight="1" x14ac:dyDescent="0.25">
      <c r="A36" s="17"/>
      <c r="B36" s="17"/>
      <c r="C36" s="17"/>
      <c r="D36" s="17"/>
      <c r="E36" s="17"/>
      <c r="F36" s="17"/>
      <c r="G36" s="17"/>
      <c r="H36" s="17"/>
    </row>
    <row r="37" spans="1:8" ht="15.75" customHeight="1" x14ac:dyDescent="0.25">
      <c r="A37" s="17"/>
      <c r="B37" s="17"/>
      <c r="C37" s="17"/>
      <c r="D37" s="17"/>
      <c r="E37" s="17"/>
      <c r="F37" s="17"/>
      <c r="G37" s="17"/>
      <c r="H37" s="17"/>
    </row>
    <row r="38" spans="1:8" ht="15.75" customHeight="1" x14ac:dyDescent="0.25">
      <c r="A38" s="17"/>
      <c r="B38" s="17"/>
      <c r="C38" s="17"/>
      <c r="D38" s="17"/>
      <c r="E38" s="17"/>
      <c r="F38" s="17"/>
      <c r="G38" s="17"/>
      <c r="H38" s="17"/>
    </row>
    <row r="39" spans="1:8" ht="15.75" customHeight="1" x14ac:dyDescent="0.25">
      <c r="A39" s="17"/>
      <c r="B39" s="17"/>
      <c r="C39" s="17"/>
      <c r="D39" s="17"/>
      <c r="E39" s="17"/>
      <c r="F39" s="17"/>
      <c r="G39" s="17"/>
      <c r="H39" s="17"/>
    </row>
    <row r="40" spans="1:8" ht="15.75" customHeight="1" x14ac:dyDescent="0.25">
      <c r="A40" s="17"/>
      <c r="B40" s="17"/>
      <c r="C40" s="17"/>
      <c r="D40" s="17"/>
      <c r="E40" s="17"/>
      <c r="F40" s="17"/>
      <c r="G40" s="17"/>
      <c r="H40" s="17"/>
    </row>
    <row r="41" spans="1:8" ht="15.75" customHeight="1" x14ac:dyDescent="0.25">
      <c r="A41" s="17"/>
      <c r="B41" s="17"/>
      <c r="C41" s="17"/>
      <c r="D41" s="17"/>
      <c r="E41" s="17"/>
      <c r="F41" s="17"/>
      <c r="G41" s="17"/>
      <c r="H41" s="17"/>
    </row>
    <row r="42" spans="1:8" ht="15.75" customHeight="1" x14ac:dyDescent="0.25">
      <c r="A42" s="17"/>
      <c r="B42" s="17"/>
      <c r="C42" s="17"/>
      <c r="D42" s="17"/>
      <c r="E42" s="17"/>
      <c r="F42" s="17"/>
      <c r="G42" s="17"/>
      <c r="H42" s="17"/>
    </row>
    <row r="43" spans="1:8" ht="15.75" customHeight="1" x14ac:dyDescent="0.25">
      <c r="A43" s="17"/>
      <c r="B43" s="17"/>
      <c r="C43" s="17"/>
      <c r="D43" s="17"/>
      <c r="E43" s="17"/>
      <c r="F43" s="17"/>
      <c r="G43" s="17"/>
      <c r="H43" s="17"/>
    </row>
    <row r="44" spans="1:8" ht="15.75" customHeight="1" x14ac:dyDescent="0.25">
      <c r="A44" s="17"/>
      <c r="B44" s="17"/>
      <c r="C44" s="17"/>
      <c r="D44" s="17"/>
      <c r="E44" s="17"/>
      <c r="F44" s="17"/>
      <c r="G44" s="17"/>
      <c r="H44" s="17"/>
    </row>
    <row r="45" spans="1:8" ht="15.75" customHeight="1" x14ac:dyDescent="0.25">
      <c r="A45" s="17"/>
      <c r="B45" s="17"/>
      <c r="C45" s="17"/>
      <c r="D45" s="17"/>
      <c r="E45" s="17"/>
      <c r="F45" s="17"/>
      <c r="G45" s="17"/>
      <c r="H45" s="17"/>
    </row>
    <row r="46" spans="1:8" ht="15.75" customHeight="1" x14ac:dyDescent="0.25">
      <c r="A46" s="17"/>
      <c r="B46" s="17"/>
      <c r="C46" s="17"/>
      <c r="D46" s="17"/>
      <c r="E46" s="17"/>
      <c r="F46" s="17"/>
      <c r="G46" s="17"/>
      <c r="H46" s="17"/>
    </row>
    <row r="47" spans="1:8" ht="15.75" customHeight="1" x14ac:dyDescent="0.25">
      <c r="A47" s="17"/>
      <c r="B47" s="17"/>
      <c r="C47" s="17"/>
      <c r="D47" s="17"/>
      <c r="E47" s="17"/>
      <c r="F47" s="17"/>
      <c r="G47" s="17"/>
      <c r="H47" s="17"/>
    </row>
    <row r="48" spans="1:8" ht="15.75" customHeight="1" x14ac:dyDescent="0.25">
      <c r="A48" s="17"/>
      <c r="B48" s="17"/>
      <c r="C48" s="17"/>
      <c r="D48" s="17"/>
      <c r="E48" s="17"/>
      <c r="F48" s="17"/>
      <c r="G48" s="17"/>
      <c r="H48" s="17"/>
    </row>
    <row r="49" spans="1:8" ht="15.75" customHeight="1" x14ac:dyDescent="0.25">
      <c r="A49" s="17"/>
      <c r="B49" s="17"/>
      <c r="C49" s="17"/>
      <c r="D49" s="17"/>
      <c r="E49" s="17"/>
      <c r="F49" s="17"/>
      <c r="G49" s="17"/>
      <c r="H49" s="17"/>
    </row>
    <row r="50" spans="1:8" ht="15.75" customHeight="1" x14ac:dyDescent="0.25">
      <c r="A50" s="17"/>
      <c r="B50" s="17"/>
      <c r="C50" s="17"/>
      <c r="D50" s="17"/>
      <c r="E50" s="17"/>
      <c r="F50" s="17"/>
      <c r="G50" s="17"/>
      <c r="H50" s="17"/>
    </row>
    <row r="51" spans="1:8" ht="15.75" customHeight="1" x14ac:dyDescent="0.25">
      <c r="A51" s="17"/>
      <c r="B51" s="17"/>
      <c r="C51" s="17"/>
      <c r="D51" s="17"/>
      <c r="E51" s="17"/>
      <c r="F51" s="17"/>
      <c r="G51" s="17"/>
      <c r="H51" s="17"/>
    </row>
    <row r="52" spans="1:8" ht="15.75" customHeight="1" x14ac:dyDescent="0.25">
      <c r="A52" s="17"/>
      <c r="B52" s="17"/>
      <c r="C52" s="17"/>
      <c r="D52" s="17"/>
      <c r="E52" s="17"/>
      <c r="F52" s="17"/>
      <c r="G52" s="17"/>
      <c r="H52" s="17"/>
    </row>
    <row r="53" spans="1:8" ht="15.75" customHeight="1" x14ac:dyDescent="0.25">
      <c r="A53" s="17"/>
      <c r="B53" s="17"/>
      <c r="C53" s="17"/>
      <c r="D53" s="17"/>
      <c r="E53" s="17"/>
      <c r="F53" s="17"/>
      <c r="G53" s="17"/>
      <c r="H53" s="17"/>
    </row>
    <row r="54" spans="1:8" ht="15.75" customHeight="1" x14ac:dyDescent="0.25">
      <c r="A54" s="17"/>
      <c r="B54" s="17"/>
      <c r="C54" s="17"/>
      <c r="D54" s="17"/>
      <c r="E54" s="17"/>
      <c r="F54" s="17"/>
      <c r="G54" s="17"/>
      <c r="H54" s="17"/>
    </row>
    <row r="55" spans="1:8" ht="15.75" customHeight="1" x14ac:dyDescent="0.25">
      <c r="A55" s="17"/>
      <c r="B55" s="17"/>
      <c r="C55" s="17"/>
      <c r="D55" s="17"/>
      <c r="E55" s="17"/>
      <c r="F55" s="17"/>
      <c r="G55" s="17"/>
      <c r="H55" s="17"/>
    </row>
    <row r="56" spans="1:8" ht="15.75" customHeight="1" x14ac:dyDescent="0.25">
      <c r="A56" s="17"/>
      <c r="B56" s="17"/>
      <c r="C56" s="17"/>
      <c r="D56" s="17"/>
      <c r="E56" s="17"/>
      <c r="F56" s="17"/>
      <c r="G56" s="17"/>
      <c r="H56" s="17"/>
    </row>
    <row r="57" spans="1:8" ht="15.75" customHeight="1" x14ac:dyDescent="0.25">
      <c r="A57" s="17"/>
      <c r="B57" s="17"/>
      <c r="C57" s="17"/>
      <c r="D57" s="17"/>
      <c r="E57" s="17"/>
      <c r="F57" s="17"/>
      <c r="G57" s="17"/>
      <c r="H57" s="17"/>
    </row>
    <row r="58" spans="1:8" ht="15.75" customHeight="1" x14ac:dyDescent="0.25">
      <c r="A58" s="17"/>
      <c r="B58" s="17"/>
      <c r="C58" s="17"/>
      <c r="D58" s="17"/>
      <c r="E58" s="17"/>
      <c r="F58" s="17"/>
      <c r="G58" s="17"/>
      <c r="H58" s="17"/>
    </row>
    <row r="59" spans="1:8" ht="15.75" customHeight="1" x14ac:dyDescent="0.25">
      <c r="A59" s="17"/>
      <c r="B59" s="17"/>
      <c r="C59" s="17"/>
      <c r="D59" s="17"/>
      <c r="E59" s="17"/>
      <c r="F59" s="17"/>
      <c r="G59" s="17"/>
      <c r="H59" s="17"/>
    </row>
    <row r="60" spans="1:8" ht="15.75" customHeight="1" x14ac:dyDescent="0.25">
      <c r="A60" s="17"/>
      <c r="B60" s="17"/>
      <c r="C60" s="17"/>
      <c r="D60" s="17"/>
      <c r="E60" s="17"/>
      <c r="F60" s="17"/>
      <c r="G60" s="17"/>
      <c r="H60" s="17"/>
    </row>
    <row r="61" spans="1:8" ht="15.75" customHeight="1" x14ac:dyDescent="0.25">
      <c r="A61" s="17"/>
      <c r="B61" s="17"/>
      <c r="C61" s="17"/>
      <c r="D61" s="17"/>
      <c r="E61" s="17"/>
      <c r="F61" s="17"/>
      <c r="G61" s="17"/>
      <c r="H61" s="17"/>
    </row>
    <row r="62" spans="1:8" ht="15.75" customHeight="1" x14ac:dyDescent="0.25">
      <c r="A62" s="17"/>
      <c r="B62" s="17"/>
      <c r="C62" s="17"/>
      <c r="D62" s="17"/>
      <c r="E62" s="17"/>
      <c r="F62" s="17"/>
      <c r="G62" s="17"/>
      <c r="H62" s="17"/>
    </row>
    <row r="63" spans="1:8" ht="15.75" customHeight="1" x14ac:dyDescent="0.25">
      <c r="A63" s="17"/>
      <c r="B63" s="17"/>
      <c r="C63" s="17"/>
      <c r="D63" s="17"/>
      <c r="E63" s="17"/>
      <c r="F63" s="17"/>
      <c r="G63" s="17"/>
      <c r="H63" s="17"/>
    </row>
    <row r="64" spans="1:8" ht="15.75" customHeight="1" x14ac:dyDescent="0.25">
      <c r="A64" s="17"/>
      <c r="B64" s="17"/>
      <c r="C64" s="17"/>
      <c r="D64" s="17"/>
      <c r="E64" s="17"/>
      <c r="F64" s="17"/>
      <c r="G64" s="17"/>
      <c r="H64" s="17"/>
    </row>
    <row r="65" spans="1:8" ht="15.75" customHeight="1" x14ac:dyDescent="0.25">
      <c r="A65" s="17"/>
      <c r="B65" s="17"/>
      <c r="C65" s="17"/>
      <c r="D65" s="17"/>
      <c r="E65" s="17"/>
      <c r="F65" s="17"/>
      <c r="G65" s="17"/>
      <c r="H65" s="17"/>
    </row>
    <row r="66" spans="1:8" ht="15.75" customHeight="1" x14ac:dyDescent="0.25">
      <c r="A66" s="17"/>
      <c r="B66" s="17"/>
      <c r="C66" s="17"/>
      <c r="D66" s="17"/>
      <c r="E66" s="17"/>
      <c r="F66" s="17"/>
      <c r="G66" s="17"/>
      <c r="H66" s="17"/>
    </row>
    <row r="67" spans="1:8" ht="15.75" customHeight="1" x14ac:dyDescent="0.25">
      <c r="A67" s="17"/>
      <c r="B67" s="17"/>
      <c r="C67" s="17"/>
      <c r="D67" s="17"/>
      <c r="E67" s="17"/>
      <c r="F67" s="17"/>
      <c r="G67" s="17"/>
      <c r="H67" s="17"/>
    </row>
    <row r="68" spans="1:8" ht="15.75" customHeight="1" x14ac:dyDescent="0.25">
      <c r="A68" s="17"/>
      <c r="B68" s="17"/>
      <c r="C68" s="17"/>
      <c r="D68" s="17"/>
      <c r="E68" s="17"/>
      <c r="F68" s="17"/>
      <c r="G68" s="17"/>
      <c r="H68" s="17"/>
    </row>
    <row r="69" spans="1:8" ht="15.75" customHeight="1" x14ac:dyDescent="0.25">
      <c r="A69" s="17"/>
      <c r="B69" s="17"/>
      <c r="C69" s="17"/>
      <c r="D69" s="17"/>
      <c r="E69" s="17"/>
      <c r="F69" s="17"/>
      <c r="G69" s="17"/>
      <c r="H69" s="17"/>
    </row>
    <row r="70" spans="1:8" ht="15.75" customHeight="1" x14ac:dyDescent="0.25">
      <c r="A70" s="17"/>
      <c r="B70" s="17"/>
      <c r="C70" s="17"/>
      <c r="D70" s="17"/>
      <c r="E70" s="17"/>
      <c r="F70" s="17"/>
      <c r="G70" s="17"/>
      <c r="H70" s="17"/>
    </row>
    <row r="71" spans="1:8" ht="15.75" customHeight="1" x14ac:dyDescent="0.25">
      <c r="A71" s="17"/>
      <c r="B71" s="17"/>
      <c r="C71" s="17"/>
      <c r="D71" s="17"/>
      <c r="E71" s="17"/>
      <c r="F71" s="17"/>
      <c r="G71" s="17"/>
      <c r="H71" s="17"/>
    </row>
    <row r="72" spans="1:8" ht="15.75" customHeight="1" x14ac:dyDescent="0.25">
      <c r="A72" s="17"/>
      <c r="B72" s="17"/>
      <c r="C72" s="17"/>
      <c r="D72" s="17"/>
      <c r="E72" s="17"/>
      <c r="F72" s="17"/>
      <c r="G72" s="17"/>
      <c r="H72" s="17"/>
    </row>
    <row r="73" spans="1:8" ht="15.75" customHeight="1" x14ac:dyDescent="0.25">
      <c r="A73" s="17"/>
      <c r="B73" s="17"/>
      <c r="C73" s="17"/>
      <c r="D73" s="17"/>
      <c r="E73" s="17"/>
      <c r="F73" s="17"/>
      <c r="G73" s="17"/>
      <c r="H73" s="17"/>
    </row>
    <row r="74" spans="1:8" ht="15.75" customHeight="1" x14ac:dyDescent="0.25">
      <c r="A74" s="17"/>
      <c r="B74" s="17"/>
      <c r="C74" s="17"/>
      <c r="D74" s="17"/>
      <c r="E74" s="17"/>
      <c r="F74" s="17"/>
      <c r="G74" s="17"/>
      <c r="H74" s="17"/>
    </row>
    <row r="75" spans="1:8" ht="15.75" customHeight="1" x14ac:dyDescent="0.25">
      <c r="A75" s="17"/>
      <c r="B75" s="17"/>
      <c r="C75" s="17"/>
      <c r="D75" s="17"/>
      <c r="E75" s="17"/>
      <c r="F75" s="17"/>
      <c r="G75" s="17"/>
      <c r="H75" s="17"/>
    </row>
    <row r="76" spans="1:8" ht="15.75" customHeight="1" x14ac:dyDescent="0.25">
      <c r="A76" s="17"/>
      <c r="B76" s="17"/>
      <c r="C76" s="17"/>
      <c r="D76" s="17"/>
      <c r="E76" s="17"/>
      <c r="F76" s="17"/>
      <c r="G76" s="17"/>
      <c r="H76" s="17"/>
    </row>
    <row r="77" spans="1:8" ht="15.75" customHeight="1" x14ac:dyDescent="0.25">
      <c r="A77" s="17"/>
      <c r="B77" s="17"/>
      <c r="C77" s="17"/>
      <c r="D77" s="17"/>
      <c r="E77" s="17"/>
      <c r="F77" s="17"/>
      <c r="G77" s="17"/>
      <c r="H77" s="17"/>
    </row>
    <row r="78" spans="1:8" ht="15.75" customHeight="1" x14ac:dyDescent="0.25">
      <c r="A78" s="17"/>
      <c r="B78" s="17"/>
      <c r="C78" s="17"/>
      <c r="D78" s="17"/>
      <c r="E78" s="17"/>
      <c r="F78" s="17"/>
      <c r="G78" s="17"/>
      <c r="H78" s="17"/>
    </row>
    <row r="79" spans="1:8" ht="15.75" customHeight="1" x14ac:dyDescent="0.25">
      <c r="A79" s="17"/>
      <c r="B79" s="17"/>
      <c r="C79" s="17"/>
      <c r="D79" s="17"/>
      <c r="E79" s="17"/>
      <c r="F79" s="17"/>
      <c r="G79" s="17"/>
      <c r="H79" s="17"/>
    </row>
    <row r="80" spans="1:8" ht="15.75" customHeight="1" x14ac:dyDescent="0.25">
      <c r="A80" s="17"/>
      <c r="B80" s="17"/>
      <c r="C80" s="17"/>
      <c r="D80" s="17"/>
      <c r="E80" s="17"/>
      <c r="F80" s="17"/>
      <c r="G80" s="17"/>
      <c r="H80" s="17"/>
    </row>
    <row r="81" spans="1:8" ht="15.75" customHeight="1" x14ac:dyDescent="0.25">
      <c r="A81" s="17"/>
      <c r="B81" s="17"/>
      <c r="C81" s="17"/>
      <c r="D81" s="17"/>
      <c r="E81" s="17"/>
      <c r="F81" s="17"/>
      <c r="G81" s="17"/>
      <c r="H81" s="17"/>
    </row>
    <row r="82" spans="1:8" ht="15.75" customHeight="1" x14ac:dyDescent="0.25">
      <c r="A82" s="17"/>
      <c r="B82" s="17"/>
      <c r="C82" s="17"/>
      <c r="D82" s="17"/>
      <c r="E82" s="17"/>
      <c r="F82" s="17"/>
      <c r="G82" s="17"/>
      <c r="H82" s="17"/>
    </row>
    <row r="83" spans="1:8" ht="15.75" customHeight="1" x14ac:dyDescent="0.25">
      <c r="A83" s="17"/>
      <c r="B83" s="17"/>
      <c r="C83" s="17"/>
      <c r="D83" s="17"/>
      <c r="E83" s="17"/>
      <c r="F83" s="17"/>
      <c r="G83" s="17"/>
      <c r="H83" s="17"/>
    </row>
    <row r="84" spans="1:8" ht="15.75" customHeight="1" x14ac:dyDescent="0.25">
      <c r="A84" s="17"/>
      <c r="B84" s="17"/>
      <c r="C84" s="17"/>
      <c r="D84" s="17"/>
      <c r="E84" s="17"/>
      <c r="F84" s="17"/>
      <c r="G84" s="17"/>
      <c r="H84" s="17"/>
    </row>
    <row r="85" spans="1:8" ht="15.75" customHeight="1" x14ac:dyDescent="0.25">
      <c r="A85" s="17"/>
      <c r="B85" s="17"/>
      <c r="C85" s="17"/>
      <c r="D85" s="17"/>
      <c r="E85" s="17"/>
      <c r="F85" s="17"/>
      <c r="G85" s="17"/>
      <c r="H85" s="17"/>
    </row>
    <row r="86" spans="1:8" ht="15.75" customHeight="1" x14ac:dyDescent="0.25">
      <c r="A86" s="17"/>
      <c r="B86" s="17"/>
      <c r="C86" s="17"/>
      <c r="D86" s="17"/>
      <c r="E86" s="17"/>
      <c r="F86" s="17"/>
      <c r="G86" s="17"/>
      <c r="H86" s="17"/>
    </row>
    <row r="87" spans="1:8" ht="15.75" customHeight="1" x14ac:dyDescent="0.25">
      <c r="A87" s="17"/>
      <c r="B87" s="17"/>
      <c r="C87" s="17"/>
      <c r="D87" s="17"/>
      <c r="E87" s="17"/>
      <c r="F87" s="17"/>
      <c r="G87" s="17"/>
      <c r="H87" s="17"/>
    </row>
    <row r="88" spans="1:8" ht="15.75" customHeight="1" x14ac:dyDescent="0.25">
      <c r="A88" s="17"/>
      <c r="B88" s="17"/>
      <c r="C88" s="17"/>
      <c r="D88" s="17"/>
      <c r="E88" s="17"/>
      <c r="F88" s="17"/>
      <c r="G88" s="17"/>
      <c r="H88" s="17"/>
    </row>
    <row r="89" spans="1:8" ht="15.75" customHeight="1" x14ac:dyDescent="0.25">
      <c r="A89" s="17"/>
      <c r="B89" s="17"/>
      <c r="C89" s="17"/>
      <c r="D89" s="17"/>
      <c r="E89" s="17"/>
      <c r="F89" s="17"/>
      <c r="G89" s="17"/>
      <c r="H89" s="17"/>
    </row>
    <row r="90" spans="1:8" ht="15.75" customHeight="1" x14ac:dyDescent="0.25">
      <c r="A90" s="17"/>
      <c r="B90" s="17"/>
      <c r="C90" s="17"/>
      <c r="D90" s="17"/>
      <c r="E90" s="17"/>
      <c r="F90" s="17"/>
      <c r="G90" s="17"/>
      <c r="H90" s="17"/>
    </row>
    <row r="91" spans="1:8" ht="15.75" customHeight="1" x14ac:dyDescent="0.25">
      <c r="A91" s="17"/>
      <c r="B91" s="17"/>
      <c r="C91" s="17"/>
      <c r="D91" s="17"/>
      <c r="E91" s="17"/>
      <c r="F91" s="17"/>
      <c r="G91" s="17"/>
      <c r="H91" s="17"/>
    </row>
    <row r="92" spans="1:8" ht="15.75" customHeight="1" x14ac:dyDescent="0.25">
      <c r="A92" s="17"/>
      <c r="B92" s="17"/>
      <c r="C92" s="17"/>
      <c r="D92" s="17"/>
      <c r="E92" s="17"/>
      <c r="F92" s="17"/>
      <c r="G92" s="17"/>
      <c r="H92" s="17"/>
    </row>
    <row r="93" spans="1:8" ht="15.75" customHeight="1" x14ac:dyDescent="0.25">
      <c r="A93" s="17"/>
      <c r="B93" s="17"/>
      <c r="C93" s="17"/>
      <c r="D93" s="17"/>
      <c r="E93" s="17"/>
      <c r="F93" s="17"/>
      <c r="G93" s="17"/>
      <c r="H93" s="17"/>
    </row>
    <row r="94" spans="1:8" ht="15.75" customHeight="1" x14ac:dyDescent="0.25">
      <c r="A94" s="17"/>
      <c r="B94" s="17"/>
      <c r="C94" s="17"/>
      <c r="D94" s="17"/>
      <c r="E94" s="17"/>
      <c r="F94" s="17"/>
      <c r="G94" s="17"/>
      <c r="H94" s="17"/>
    </row>
    <row r="95" spans="1:8" ht="15.75" customHeight="1" x14ac:dyDescent="0.25">
      <c r="A95" s="17"/>
      <c r="B95" s="17"/>
      <c r="C95" s="17"/>
      <c r="D95" s="17"/>
      <c r="E95" s="17"/>
      <c r="F95" s="17"/>
      <c r="G95" s="17"/>
      <c r="H95" s="17"/>
    </row>
    <row r="96" spans="1:8" ht="15.75" customHeight="1" x14ac:dyDescent="0.25">
      <c r="A96" s="17"/>
      <c r="B96" s="17"/>
      <c r="C96" s="17"/>
      <c r="D96" s="17"/>
      <c r="E96" s="17"/>
      <c r="F96" s="17"/>
      <c r="G96" s="17"/>
      <c r="H96" s="17"/>
    </row>
    <row r="97" spans="1:8" ht="15.75" customHeight="1" x14ac:dyDescent="0.25">
      <c r="A97" s="17"/>
      <c r="B97" s="17"/>
      <c r="C97" s="17"/>
      <c r="D97" s="17"/>
      <c r="E97" s="17"/>
      <c r="F97" s="17"/>
      <c r="G97" s="17"/>
      <c r="H97" s="17"/>
    </row>
    <row r="98" spans="1:8" ht="15.75" customHeight="1" x14ac:dyDescent="0.25">
      <c r="A98" s="17"/>
      <c r="B98" s="17"/>
      <c r="C98" s="17"/>
      <c r="D98" s="17"/>
      <c r="E98" s="17"/>
      <c r="F98" s="17"/>
      <c r="G98" s="17"/>
      <c r="H98" s="17"/>
    </row>
    <row r="99" spans="1:8" ht="15.75" customHeight="1" x14ac:dyDescent="0.25">
      <c r="A99" s="17"/>
      <c r="B99" s="17"/>
      <c r="C99" s="17"/>
      <c r="D99" s="17"/>
      <c r="E99" s="17"/>
      <c r="F99" s="17"/>
      <c r="G99" s="17"/>
      <c r="H99" s="17"/>
    </row>
    <row r="100" spans="1:8" ht="15.75" customHeight="1" x14ac:dyDescent="0.25">
      <c r="A100" s="17"/>
      <c r="B100" s="17"/>
      <c r="C100" s="17"/>
      <c r="D100" s="17"/>
      <c r="E100" s="17"/>
      <c r="F100" s="17"/>
      <c r="G100" s="17"/>
      <c r="H100" s="17"/>
    </row>
  </sheetData>
  <mergeCells count="19">
    <mergeCell ref="A1:H1"/>
    <mergeCell ref="A2:B2"/>
    <mergeCell ref="C2:D2"/>
    <mergeCell ref="E2:F2"/>
    <mergeCell ref="G2:H2"/>
    <mergeCell ref="A5:H5"/>
    <mergeCell ref="A32:D32"/>
    <mergeCell ref="A33:D33"/>
    <mergeCell ref="A34:D34"/>
    <mergeCell ref="C3:D3"/>
    <mergeCell ref="A17:D17"/>
    <mergeCell ref="A18:D18"/>
    <mergeCell ref="A19:D19"/>
    <mergeCell ref="A21:H21"/>
    <mergeCell ref="A29:D29"/>
    <mergeCell ref="A31:H31"/>
    <mergeCell ref="E3:F3"/>
    <mergeCell ref="G3:H3"/>
    <mergeCell ref="A3:B3"/>
  </mergeCells>
  <pageMargins left="0.75" right="0.75" top="1" bottom="1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2E86AB"/>
  </sheetPr>
  <dimension ref="A1:H100"/>
  <sheetViews>
    <sheetView workbookViewId="0">
      <pane ySplit="3" topLeftCell="A4" activePane="bottomLeft" state="frozen"/>
      <selection pane="bottomLeft" activeCell="A5" sqref="A5:H5"/>
    </sheetView>
  </sheetViews>
  <sheetFormatPr defaultColWidth="14.42578125" defaultRowHeight="15" customHeight="1" x14ac:dyDescent="0.25"/>
  <cols>
    <col min="1" max="1" width="10" customWidth="1"/>
    <col min="2" max="2" width="26" customWidth="1"/>
    <col min="3" max="7" width="16" customWidth="1"/>
    <col min="8" max="8" width="20" customWidth="1"/>
  </cols>
  <sheetData>
    <row r="1" spans="1:8" ht="27.75" customHeight="1" x14ac:dyDescent="0.25">
      <c r="A1" s="163" t="s">
        <v>33</v>
      </c>
      <c r="B1" s="146"/>
      <c r="C1" s="146"/>
      <c r="D1" s="146"/>
      <c r="E1" s="146"/>
      <c r="F1" s="146"/>
      <c r="G1" s="146"/>
      <c r="H1" s="147"/>
    </row>
    <row r="2" spans="1:8" ht="18" customHeight="1" x14ac:dyDescent="0.25">
      <c r="A2" s="164" t="s">
        <v>34</v>
      </c>
      <c r="B2" s="147"/>
      <c r="C2" s="164" t="s">
        <v>35</v>
      </c>
      <c r="D2" s="147"/>
      <c r="E2" s="164" t="s">
        <v>36</v>
      </c>
      <c r="F2" s="147"/>
      <c r="G2" s="164" t="s">
        <v>37</v>
      </c>
      <c r="H2" s="147"/>
    </row>
    <row r="3" spans="1:8" ht="21.75" customHeight="1" x14ac:dyDescent="0.25">
      <c r="A3" s="162">
        <f>E29</f>
        <v>4275</v>
      </c>
      <c r="B3" s="147"/>
      <c r="C3" s="154">
        <f>E19</f>
        <v>3080</v>
      </c>
      <c r="D3" s="147"/>
      <c r="E3" s="160">
        <f>E29-E19</f>
        <v>1195</v>
      </c>
      <c r="F3" s="147"/>
      <c r="G3" s="161">
        <f>IF(E29&gt;0,(E29-E19)/E29,0)</f>
        <v>0.27953216374269008</v>
      </c>
      <c r="H3" s="147"/>
    </row>
    <row r="4" spans="1:8" ht="14.25" customHeight="1" x14ac:dyDescent="0.25">
      <c r="A4" s="17"/>
      <c r="B4" s="17"/>
      <c r="C4" s="17"/>
      <c r="D4" s="17"/>
      <c r="E4" s="17"/>
      <c r="F4" s="17"/>
      <c r="G4" s="17"/>
      <c r="H4" s="17"/>
    </row>
    <row r="5" spans="1:8" ht="19.5" customHeight="1" x14ac:dyDescent="0.25">
      <c r="A5" s="150" t="s">
        <v>177</v>
      </c>
      <c r="B5" s="146"/>
      <c r="C5" s="146"/>
      <c r="D5" s="146"/>
      <c r="E5" s="146"/>
      <c r="F5" s="146"/>
      <c r="G5" s="146"/>
      <c r="H5" s="147"/>
    </row>
    <row r="6" spans="1:8" ht="15" customHeight="1" x14ac:dyDescent="0.25">
      <c r="A6" s="36" t="s">
        <v>22</v>
      </c>
      <c r="B6" s="36" t="s">
        <v>39</v>
      </c>
      <c r="C6" s="36" t="s">
        <v>40</v>
      </c>
      <c r="D6" s="36" t="s">
        <v>41</v>
      </c>
      <c r="E6" s="36" t="s">
        <v>42</v>
      </c>
      <c r="F6" s="36" t="s">
        <v>43</v>
      </c>
      <c r="G6" s="36" t="s">
        <v>44</v>
      </c>
      <c r="H6" s="36"/>
    </row>
    <row r="7" spans="1:8" ht="15" customHeight="1" x14ac:dyDescent="0.25">
      <c r="A7" s="37" t="s">
        <v>178</v>
      </c>
      <c r="B7" s="38" t="s">
        <v>46</v>
      </c>
      <c r="C7" s="37" t="s">
        <v>167</v>
      </c>
      <c r="D7" s="37" t="s">
        <v>48</v>
      </c>
      <c r="E7" s="39">
        <v>86</v>
      </c>
      <c r="F7" s="37"/>
      <c r="G7" s="37"/>
      <c r="H7" s="37"/>
    </row>
    <row r="8" spans="1:8" ht="15" customHeight="1" x14ac:dyDescent="0.25">
      <c r="A8" s="40" t="s">
        <v>178</v>
      </c>
      <c r="B8" s="41" t="s">
        <v>49</v>
      </c>
      <c r="C8" s="40"/>
      <c r="D8" s="40" t="s">
        <v>50</v>
      </c>
      <c r="E8" s="42">
        <v>216</v>
      </c>
      <c r="F8" s="40"/>
      <c r="G8" s="40"/>
      <c r="H8" s="40"/>
    </row>
    <row r="9" spans="1:8" ht="15" customHeight="1" x14ac:dyDescent="0.25">
      <c r="A9" s="37" t="s">
        <v>178</v>
      </c>
      <c r="B9" s="38" t="s">
        <v>51</v>
      </c>
      <c r="C9" s="37"/>
      <c r="D9" s="37" t="s">
        <v>50</v>
      </c>
      <c r="E9" s="39">
        <v>230</v>
      </c>
      <c r="F9" s="37"/>
      <c r="G9" s="37"/>
      <c r="H9" s="37"/>
    </row>
    <row r="10" spans="1:8" ht="15" customHeight="1" x14ac:dyDescent="0.25">
      <c r="A10" s="40" t="s">
        <v>178</v>
      </c>
      <c r="B10" s="41" t="s">
        <v>52</v>
      </c>
      <c r="C10" s="40"/>
      <c r="D10" s="40" t="s">
        <v>50</v>
      </c>
      <c r="E10" s="42">
        <v>95</v>
      </c>
      <c r="F10" s="40"/>
      <c r="G10" s="40"/>
      <c r="H10" s="40"/>
    </row>
    <row r="11" spans="1:8" ht="15" customHeight="1" x14ac:dyDescent="0.25">
      <c r="A11" s="37" t="s">
        <v>178</v>
      </c>
      <c r="B11" s="38" t="s">
        <v>53</v>
      </c>
      <c r="C11" s="37"/>
      <c r="D11" s="37" t="s">
        <v>50</v>
      </c>
      <c r="E11" s="39">
        <v>120</v>
      </c>
      <c r="F11" s="37"/>
      <c r="G11" s="37"/>
      <c r="H11" s="37"/>
    </row>
    <row r="12" spans="1:8" ht="15" customHeight="1" x14ac:dyDescent="0.25">
      <c r="A12" s="40" t="s">
        <v>178</v>
      </c>
      <c r="B12" s="41" t="s">
        <v>54</v>
      </c>
      <c r="C12" s="40"/>
      <c r="D12" s="40" t="s">
        <v>50</v>
      </c>
      <c r="E12" s="42">
        <v>288</v>
      </c>
      <c r="F12" s="40"/>
      <c r="G12" s="40"/>
      <c r="H12" s="40"/>
    </row>
    <row r="13" spans="1:8" ht="15" customHeight="1" x14ac:dyDescent="0.25">
      <c r="A13" s="37" t="s">
        <v>178</v>
      </c>
      <c r="B13" s="38" t="s">
        <v>55</v>
      </c>
      <c r="C13" s="37"/>
      <c r="D13" s="37" t="s">
        <v>50</v>
      </c>
      <c r="E13" s="39">
        <v>135</v>
      </c>
      <c r="F13" s="37"/>
      <c r="G13" s="37"/>
      <c r="H13" s="37"/>
    </row>
    <row r="14" spans="1:8" ht="15" customHeight="1" x14ac:dyDescent="0.25">
      <c r="A14" s="40" t="s">
        <v>179</v>
      </c>
      <c r="B14" s="40" t="s">
        <v>126</v>
      </c>
      <c r="C14" s="31"/>
      <c r="D14" s="40" t="s">
        <v>50</v>
      </c>
      <c r="E14" s="107">
        <f>'💳 Empréstimo'!F20</f>
        <v>560</v>
      </c>
      <c r="F14" s="31"/>
      <c r="G14" s="40" t="s">
        <v>180</v>
      </c>
      <c r="H14" s="31"/>
    </row>
    <row r="15" spans="1:8" ht="15" customHeight="1" x14ac:dyDescent="0.25">
      <c r="A15" s="31"/>
      <c r="B15" s="31"/>
      <c r="C15" s="31"/>
      <c r="D15" s="31"/>
      <c r="E15" s="29"/>
      <c r="F15" s="31"/>
      <c r="G15" s="31"/>
      <c r="H15" s="31"/>
    </row>
    <row r="16" spans="1:8" ht="15" customHeight="1" x14ac:dyDescent="0.25">
      <c r="A16" s="31"/>
      <c r="B16" s="31"/>
      <c r="C16" s="31"/>
      <c r="D16" s="31"/>
      <c r="E16" s="29"/>
      <c r="F16" s="31"/>
      <c r="G16" s="31"/>
      <c r="H16" s="31"/>
    </row>
    <row r="17" spans="1:8" ht="15" customHeight="1" x14ac:dyDescent="0.25">
      <c r="A17" s="155" t="s">
        <v>56</v>
      </c>
      <c r="B17" s="152"/>
      <c r="C17" s="152"/>
      <c r="D17" s="153"/>
      <c r="E17" s="43">
        <f>SUM(E7:E16)</f>
        <v>1730</v>
      </c>
      <c r="F17" s="44"/>
      <c r="G17" s="44"/>
      <c r="H17" s="44"/>
    </row>
    <row r="18" spans="1:8" ht="15" customHeight="1" x14ac:dyDescent="0.25">
      <c r="A18" s="156" t="s">
        <v>57</v>
      </c>
      <c r="B18" s="152"/>
      <c r="C18" s="152"/>
      <c r="D18" s="153"/>
      <c r="E18" s="45">
        <v>1350</v>
      </c>
      <c r="F18" s="44"/>
      <c r="G18" s="44"/>
      <c r="H18" s="44"/>
    </row>
    <row r="19" spans="1:8" ht="15" customHeight="1" x14ac:dyDescent="0.25">
      <c r="A19" s="157" t="s">
        <v>58</v>
      </c>
      <c r="B19" s="152"/>
      <c r="C19" s="152"/>
      <c r="D19" s="153"/>
      <c r="E19" s="46">
        <f>E17+E18</f>
        <v>3080</v>
      </c>
      <c r="F19" s="47"/>
      <c r="G19" s="47"/>
      <c r="H19" s="47"/>
    </row>
    <row r="20" spans="1:8" ht="14.25" customHeight="1" x14ac:dyDescent="0.25">
      <c r="A20" s="17"/>
      <c r="B20" s="17"/>
      <c r="C20" s="17"/>
      <c r="D20" s="17"/>
      <c r="E20" s="17"/>
      <c r="F20" s="17"/>
      <c r="G20" s="17"/>
      <c r="H20" s="17"/>
    </row>
    <row r="21" spans="1:8" ht="19.5" customHeight="1" x14ac:dyDescent="0.25">
      <c r="A21" s="158" t="s">
        <v>59</v>
      </c>
      <c r="B21" s="146"/>
      <c r="C21" s="146"/>
      <c r="D21" s="146"/>
      <c r="E21" s="146"/>
      <c r="F21" s="146"/>
      <c r="G21" s="146"/>
      <c r="H21" s="147"/>
    </row>
    <row r="22" spans="1:8" ht="15" customHeight="1" x14ac:dyDescent="0.25">
      <c r="A22" s="48" t="s">
        <v>22</v>
      </c>
      <c r="B22" s="48" t="s">
        <v>39</v>
      </c>
      <c r="C22" s="48" t="s">
        <v>40</v>
      </c>
      <c r="D22" s="48" t="s">
        <v>41</v>
      </c>
      <c r="E22" s="48" t="s">
        <v>42</v>
      </c>
      <c r="F22" s="48" t="s">
        <v>60</v>
      </c>
      <c r="G22" s="48" t="s">
        <v>44</v>
      </c>
      <c r="H22" s="48"/>
    </row>
    <row r="23" spans="1:8" ht="15" customHeight="1" x14ac:dyDescent="0.25">
      <c r="A23" s="49" t="s">
        <v>178</v>
      </c>
      <c r="B23" s="50" t="s">
        <v>61</v>
      </c>
      <c r="C23" s="49" t="s">
        <v>62</v>
      </c>
      <c r="D23" s="49" t="s">
        <v>50</v>
      </c>
      <c r="E23" s="51">
        <v>1475</v>
      </c>
      <c r="F23" s="49"/>
      <c r="G23" s="49"/>
      <c r="H23" s="49"/>
    </row>
    <row r="24" spans="1:8" ht="15" customHeight="1" x14ac:dyDescent="0.25">
      <c r="A24" s="52" t="s">
        <v>178</v>
      </c>
      <c r="B24" s="53" t="s">
        <v>63</v>
      </c>
      <c r="C24" s="52" t="s">
        <v>62</v>
      </c>
      <c r="D24" s="52" t="s">
        <v>50</v>
      </c>
      <c r="E24" s="54">
        <v>1300</v>
      </c>
      <c r="F24" s="52"/>
      <c r="G24" s="52"/>
      <c r="H24" s="52"/>
    </row>
    <row r="25" spans="1:8" ht="15" customHeight="1" x14ac:dyDescent="0.25">
      <c r="A25" s="49" t="s">
        <v>178</v>
      </c>
      <c r="B25" s="50" t="s">
        <v>64</v>
      </c>
      <c r="C25" s="49" t="s">
        <v>62</v>
      </c>
      <c r="D25" s="49" t="s">
        <v>50</v>
      </c>
      <c r="E25" s="51">
        <v>1500</v>
      </c>
      <c r="F25" s="49"/>
      <c r="G25" s="49"/>
      <c r="H25" s="49"/>
    </row>
    <row r="26" spans="1:8" ht="15" customHeight="1" x14ac:dyDescent="0.25">
      <c r="A26" s="52"/>
      <c r="B26" s="53"/>
      <c r="C26" s="52"/>
      <c r="D26" s="52"/>
      <c r="E26" s="54"/>
      <c r="F26" s="52"/>
      <c r="G26" s="52"/>
      <c r="H26" s="52"/>
    </row>
    <row r="27" spans="1:8" ht="15" customHeight="1" x14ac:dyDescent="0.25">
      <c r="A27" s="55"/>
      <c r="B27" s="55"/>
      <c r="C27" s="55"/>
      <c r="D27" s="55"/>
      <c r="E27" s="56"/>
      <c r="F27" s="55"/>
      <c r="G27" s="55"/>
      <c r="H27" s="55"/>
    </row>
    <row r="28" spans="1:8" ht="15" customHeight="1" x14ac:dyDescent="0.25">
      <c r="A28" s="55"/>
      <c r="B28" s="55"/>
      <c r="C28" s="55"/>
      <c r="D28" s="55"/>
      <c r="E28" s="56"/>
      <c r="F28" s="55"/>
      <c r="G28" s="55"/>
      <c r="H28" s="55"/>
    </row>
    <row r="29" spans="1:8" ht="15" customHeight="1" x14ac:dyDescent="0.25">
      <c r="A29" s="157" t="s">
        <v>66</v>
      </c>
      <c r="B29" s="152"/>
      <c r="C29" s="152"/>
      <c r="D29" s="153"/>
      <c r="E29" s="46">
        <f>SUM(E23:E28)</f>
        <v>4275</v>
      </c>
      <c r="F29" s="47"/>
      <c r="G29" s="47"/>
      <c r="H29" s="47"/>
    </row>
    <row r="30" spans="1:8" ht="15.75" customHeight="1" x14ac:dyDescent="0.25">
      <c r="A30" s="17"/>
      <c r="B30" s="17"/>
      <c r="C30" s="17"/>
      <c r="D30" s="17"/>
      <c r="E30" s="17"/>
      <c r="F30" s="17"/>
      <c r="G30" s="17"/>
      <c r="H30" s="17"/>
    </row>
    <row r="31" spans="1:8" ht="19.5" customHeight="1" x14ac:dyDescent="0.25">
      <c r="A31" s="159" t="s">
        <v>67</v>
      </c>
      <c r="B31" s="146"/>
      <c r="C31" s="146"/>
      <c r="D31" s="146"/>
      <c r="E31" s="146"/>
      <c r="F31" s="146"/>
      <c r="G31" s="146"/>
      <c r="H31" s="147"/>
    </row>
    <row r="32" spans="1:8" ht="15" customHeight="1" x14ac:dyDescent="0.25">
      <c r="A32" s="151" t="s">
        <v>68</v>
      </c>
      <c r="B32" s="152"/>
      <c r="C32" s="152"/>
      <c r="D32" s="153"/>
      <c r="E32" s="57">
        <f>E29-E19</f>
        <v>1195</v>
      </c>
      <c r="F32" s="58"/>
      <c r="G32" s="58"/>
      <c r="H32" s="58"/>
    </row>
    <row r="33" spans="1:8" ht="15" customHeight="1" x14ac:dyDescent="0.25">
      <c r="A33" s="151" t="s">
        <v>76</v>
      </c>
      <c r="B33" s="152"/>
      <c r="C33" s="152"/>
      <c r="D33" s="153"/>
      <c r="E33" s="57">
        <f>0.7*(E29-E19)</f>
        <v>836.5</v>
      </c>
      <c r="F33" s="58"/>
      <c r="G33" s="58"/>
      <c r="H33" s="58"/>
    </row>
    <row r="34" spans="1:8" ht="15" customHeight="1" x14ac:dyDescent="0.25">
      <c r="A34" s="151" t="s">
        <v>70</v>
      </c>
      <c r="B34" s="152"/>
      <c r="C34" s="152"/>
      <c r="D34" s="153"/>
      <c r="E34" s="57">
        <f>E19/6</f>
        <v>513.33333333333337</v>
      </c>
      <c r="F34" s="58"/>
      <c r="G34" s="58"/>
      <c r="H34" s="58"/>
    </row>
    <row r="35" spans="1:8" ht="15.75" customHeight="1" x14ac:dyDescent="0.25">
      <c r="A35" s="17"/>
      <c r="B35" s="17"/>
      <c r="C35" s="17"/>
      <c r="D35" s="17"/>
      <c r="E35" s="17"/>
      <c r="F35" s="17"/>
      <c r="G35" s="17"/>
      <c r="H35" s="17"/>
    </row>
    <row r="36" spans="1:8" ht="15.75" customHeight="1" x14ac:dyDescent="0.25">
      <c r="A36" s="17"/>
      <c r="B36" s="17"/>
      <c r="C36" s="17"/>
      <c r="D36" s="17"/>
      <c r="E36" s="17"/>
      <c r="F36" s="17"/>
      <c r="G36" s="17"/>
      <c r="H36" s="17"/>
    </row>
    <row r="37" spans="1:8" ht="15.75" customHeight="1" x14ac:dyDescent="0.25">
      <c r="A37" s="17"/>
      <c r="B37" s="17"/>
      <c r="C37" s="17"/>
      <c r="D37" s="17"/>
      <c r="E37" s="17"/>
      <c r="F37" s="17"/>
      <c r="G37" s="17"/>
      <c r="H37" s="17"/>
    </row>
    <row r="38" spans="1:8" ht="15.75" customHeight="1" x14ac:dyDescent="0.25">
      <c r="A38" s="17"/>
      <c r="B38" s="17"/>
      <c r="C38" s="17"/>
      <c r="D38" s="17"/>
      <c r="E38" s="17"/>
      <c r="F38" s="17"/>
      <c r="G38" s="17"/>
      <c r="H38" s="17"/>
    </row>
    <row r="39" spans="1:8" ht="15.75" customHeight="1" x14ac:dyDescent="0.25">
      <c r="A39" s="17"/>
      <c r="B39" s="17"/>
      <c r="C39" s="17"/>
      <c r="D39" s="17"/>
      <c r="E39" s="17"/>
      <c r="F39" s="17"/>
      <c r="G39" s="17"/>
      <c r="H39" s="17"/>
    </row>
    <row r="40" spans="1:8" ht="15.75" customHeight="1" x14ac:dyDescent="0.25">
      <c r="A40" s="17"/>
      <c r="B40" s="17"/>
      <c r="C40" s="17"/>
      <c r="D40" s="17"/>
      <c r="E40" s="17"/>
      <c r="F40" s="17"/>
      <c r="G40" s="17"/>
      <c r="H40" s="17"/>
    </row>
    <row r="41" spans="1:8" ht="15.75" customHeight="1" x14ac:dyDescent="0.25">
      <c r="A41" s="17"/>
      <c r="B41" s="17"/>
      <c r="C41" s="17"/>
      <c r="D41" s="17"/>
      <c r="E41" s="17"/>
      <c r="F41" s="17"/>
      <c r="G41" s="17"/>
      <c r="H41" s="17"/>
    </row>
    <row r="42" spans="1:8" ht="15.75" customHeight="1" x14ac:dyDescent="0.25">
      <c r="A42" s="17"/>
      <c r="B42" s="17"/>
      <c r="C42" s="17"/>
      <c r="D42" s="17"/>
      <c r="E42" s="17"/>
      <c r="F42" s="17"/>
      <c r="G42" s="17"/>
      <c r="H42" s="17"/>
    </row>
    <row r="43" spans="1:8" ht="15.75" customHeight="1" x14ac:dyDescent="0.25">
      <c r="A43" s="17"/>
      <c r="B43" s="17"/>
      <c r="C43" s="17"/>
      <c r="D43" s="17"/>
      <c r="E43" s="17"/>
      <c r="F43" s="17"/>
      <c r="G43" s="17"/>
      <c r="H43" s="17"/>
    </row>
    <row r="44" spans="1:8" ht="15.75" customHeight="1" x14ac:dyDescent="0.25">
      <c r="A44" s="17"/>
      <c r="B44" s="17"/>
      <c r="C44" s="17"/>
      <c r="D44" s="17"/>
      <c r="E44" s="17"/>
      <c r="F44" s="17"/>
      <c r="G44" s="17"/>
      <c r="H44" s="17"/>
    </row>
    <row r="45" spans="1:8" ht="15.75" customHeight="1" x14ac:dyDescent="0.25">
      <c r="A45" s="17"/>
      <c r="B45" s="17"/>
      <c r="C45" s="17"/>
      <c r="D45" s="17"/>
      <c r="E45" s="17"/>
      <c r="F45" s="17"/>
      <c r="G45" s="17"/>
      <c r="H45" s="17"/>
    </row>
    <row r="46" spans="1:8" ht="15.75" customHeight="1" x14ac:dyDescent="0.25">
      <c r="A46" s="17"/>
      <c r="B46" s="17"/>
      <c r="C46" s="17"/>
      <c r="D46" s="17"/>
      <c r="E46" s="17"/>
      <c r="F46" s="17"/>
      <c r="G46" s="17"/>
      <c r="H46" s="17"/>
    </row>
    <row r="47" spans="1:8" ht="15.75" customHeight="1" x14ac:dyDescent="0.25">
      <c r="A47" s="17"/>
      <c r="B47" s="17"/>
      <c r="C47" s="17"/>
      <c r="D47" s="17"/>
      <c r="E47" s="17"/>
      <c r="F47" s="17"/>
      <c r="G47" s="17"/>
      <c r="H47" s="17"/>
    </row>
    <row r="48" spans="1:8" ht="15.75" customHeight="1" x14ac:dyDescent="0.25">
      <c r="A48" s="17"/>
      <c r="B48" s="17"/>
      <c r="C48" s="17"/>
      <c r="D48" s="17"/>
      <c r="E48" s="17"/>
      <c r="F48" s="17"/>
      <c r="G48" s="17"/>
      <c r="H48" s="17"/>
    </row>
    <row r="49" spans="1:8" ht="15.75" customHeight="1" x14ac:dyDescent="0.25">
      <c r="A49" s="17"/>
      <c r="B49" s="17"/>
      <c r="C49" s="17"/>
      <c r="D49" s="17"/>
      <c r="E49" s="17"/>
      <c r="F49" s="17"/>
      <c r="G49" s="17"/>
      <c r="H49" s="17"/>
    </row>
    <row r="50" spans="1:8" ht="15.75" customHeight="1" x14ac:dyDescent="0.25">
      <c r="A50" s="17"/>
      <c r="B50" s="17"/>
      <c r="C50" s="17"/>
      <c r="D50" s="17"/>
      <c r="E50" s="17"/>
      <c r="F50" s="17"/>
      <c r="G50" s="17"/>
      <c r="H50" s="17"/>
    </row>
    <row r="51" spans="1:8" ht="15.75" customHeight="1" x14ac:dyDescent="0.25">
      <c r="A51" s="17"/>
      <c r="B51" s="17"/>
      <c r="C51" s="17"/>
      <c r="D51" s="17"/>
      <c r="E51" s="17"/>
      <c r="F51" s="17"/>
      <c r="G51" s="17"/>
      <c r="H51" s="17"/>
    </row>
    <row r="52" spans="1:8" ht="15.75" customHeight="1" x14ac:dyDescent="0.25">
      <c r="A52" s="17"/>
      <c r="B52" s="17"/>
      <c r="C52" s="17"/>
      <c r="D52" s="17"/>
      <c r="E52" s="17"/>
      <c r="F52" s="17"/>
      <c r="G52" s="17"/>
      <c r="H52" s="17"/>
    </row>
    <row r="53" spans="1:8" ht="15.75" customHeight="1" x14ac:dyDescent="0.25">
      <c r="A53" s="17"/>
      <c r="B53" s="17"/>
      <c r="C53" s="17"/>
      <c r="D53" s="17"/>
      <c r="E53" s="17"/>
      <c r="F53" s="17"/>
      <c r="G53" s="17"/>
      <c r="H53" s="17"/>
    </row>
    <row r="54" spans="1:8" ht="15.75" customHeight="1" x14ac:dyDescent="0.25">
      <c r="A54" s="17"/>
      <c r="B54" s="17"/>
      <c r="C54" s="17"/>
      <c r="D54" s="17"/>
      <c r="E54" s="17"/>
      <c r="F54" s="17"/>
      <c r="G54" s="17"/>
      <c r="H54" s="17"/>
    </row>
    <row r="55" spans="1:8" ht="15.75" customHeight="1" x14ac:dyDescent="0.25">
      <c r="A55" s="17"/>
      <c r="B55" s="17"/>
      <c r="C55" s="17"/>
      <c r="D55" s="17"/>
      <c r="E55" s="17"/>
      <c r="F55" s="17"/>
      <c r="G55" s="17"/>
      <c r="H55" s="17"/>
    </row>
    <row r="56" spans="1:8" ht="15.75" customHeight="1" x14ac:dyDescent="0.25">
      <c r="A56" s="17"/>
      <c r="B56" s="17"/>
      <c r="C56" s="17"/>
      <c r="D56" s="17"/>
      <c r="E56" s="17"/>
      <c r="F56" s="17"/>
      <c r="G56" s="17"/>
      <c r="H56" s="17"/>
    </row>
    <row r="57" spans="1:8" ht="15.75" customHeight="1" x14ac:dyDescent="0.25">
      <c r="A57" s="17"/>
      <c r="B57" s="17"/>
      <c r="C57" s="17"/>
      <c r="D57" s="17"/>
      <c r="E57" s="17"/>
      <c r="F57" s="17"/>
      <c r="G57" s="17"/>
      <c r="H57" s="17"/>
    </row>
    <row r="58" spans="1:8" ht="15.75" customHeight="1" x14ac:dyDescent="0.25">
      <c r="A58" s="17"/>
      <c r="B58" s="17"/>
      <c r="C58" s="17"/>
      <c r="D58" s="17"/>
      <c r="E58" s="17"/>
      <c r="F58" s="17"/>
      <c r="G58" s="17"/>
      <c r="H58" s="17"/>
    </row>
    <row r="59" spans="1:8" ht="15.75" customHeight="1" x14ac:dyDescent="0.25">
      <c r="A59" s="17"/>
      <c r="B59" s="17"/>
      <c r="C59" s="17"/>
      <c r="D59" s="17"/>
      <c r="E59" s="17"/>
      <c r="F59" s="17"/>
      <c r="G59" s="17"/>
      <c r="H59" s="17"/>
    </row>
    <row r="60" spans="1:8" ht="15.75" customHeight="1" x14ac:dyDescent="0.25">
      <c r="A60" s="17"/>
      <c r="B60" s="17"/>
      <c r="C60" s="17"/>
      <c r="D60" s="17"/>
      <c r="E60" s="17"/>
      <c r="F60" s="17"/>
      <c r="G60" s="17"/>
      <c r="H60" s="17"/>
    </row>
    <row r="61" spans="1:8" ht="15.75" customHeight="1" x14ac:dyDescent="0.25">
      <c r="A61" s="17"/>
      <c r="B61" s="17"/>
      <c r="C61" s="17"/>
      <c r="D61" s="17"/>
      <c r="E61" s="17"/>
      <c r="F61" s="17"/>
      <c r="G61" s="17"/>
      <c r="H61" s="17"/>
    </row>
    <row r="62" spans="1:8" ht="15.75" customHeight="1" x14ac:dyDescent="0.25">
      <c r="A62" s="17"/>
      <c r="B62" s="17"/>
      <c r="C62" s="17"/>
      <c r="D62" s="17"/>
      <c r="E62" s="17"/>
      <c r="F62" s="17"/>
      <c r="G62" s="17"/>
      <c r="H62" s="17"/>
    </row>
    <row r="63" spans="1:8" ht="15.75" customHeight="1" x14ac:dyDescent="0.25">
      <c r="A63" s="17"/>
      <c r="B63" s="17"/>
      <c r="C63" s="17"/>
      <c r="D63" s="17"/>
      <c r="E63" s="17"/>
      <c r="F63" s="17"/>
      <c r="G63" s="17"/>
      <c r="H63" s="17"/>
    </row>
    <row r="64" spans="1:8" ht="15.75" customHeight="1" x14ac:dyDescent="0.25">
      <c r="A64" s="17"/>
      <c r="B64" s="17"/>
      <c r="C64" s="17"/>
      <c r="D64" s="17"/>
      <c r="E64" s="17"/>
      <c r="F64" s="17"/>
      <c r="G64" s="17"/>
      <c r="H64" s="17"/>
    </row>
    <row r="65" spans="1:8" ht="15.75" customHeight="1" x14ac:dyDescent="0.25">
      <c r="A65" s="17"/>
      <c r="B65" s="17"/>
      <c r="C65" s="17"/>
      <c r="D65" s="17"/>
      <c r="E65" s="17"/>
      <c r="F65" s="17"/>
      <c r="G65" s="17"/>
      <c r="H65" s="17"/>
    </row>
    <row r="66" spans="1:8" ht="15.75" customHeight="1" x14ac:dyDescent="0.25">
      <c r="A66" s="17"/>
      <c r="B66" s="17"/>
      <c r="C66" s="17"/>
      <c r="D66" s="17"/>
      <c r="E66" s="17"/>
      <c r="F66" s="17"/>
      <c r="G66" s="17"/>
      <c r="H66" s="17"/>
    </row>
    <row r="67" spans="1:8" ht="15.75" customHeight="1" x14ac:dyDescent="0.25">
      <c r="A67" s="17"/>
      <c r="B67" s="17"/>
      <c r="C67" s="17"/>
      <c r="D67" s="17"/>
      <c r="E67" s="17"/>
      <c r="F67" s="17"/>
      <c r="G67" s="17"/>
      <c r="H67" s="17"/>
    </row>
    <row r="68" spans="1:8" ht="15.75" customHeight="1" x14ac:dyDescent="0.25">
      <c r="A68" s="17"/>
      <c r="B68" s="17"/>
      <c r="C68" s="17"/>
      <c r="D68" s="17"/>
      <c r="E68" s="17"/>
      <c r="F68" s="17"/>
      <c r="G68" s="17"/>
      <c r="H68" s="17"/>
    </row>
    <row r="69" spans="1:8" ht="15.75" customHeight="1" x14ac:dyDescent="0.25">
      <c r="A69" s="17"/>
      <c r="B69" s="17"/>
      <c r="C69" s="17"/>
      <c r="D69" s="17"/>
      <c r="E69" s="17"/>
      <c r="F69" s="17"/>
      <c r="G69" s="17"/>
      <c r="H69" s="17"/>
    </row>
    <row r="70" spans="1:8" ht="15.75" customHeight="1" x14ac:dyDescent="0.25">
      <c r="A70" s="17"/>
      <c r="B70" s="17"/>
      <c r="C70" s="17"/>
      <c r="D70" s="17"/>
      <c r="E70" s="17"/>
      <c r="F70" s="17"/>
      <c r="G70" s="17"/>
      <c r="H70" s="17"/>
    </row>
    <row r="71" spans="1:8" ht="15.75" customHeight="1" x14ac:dyDescent="0.25">
      <c r="A71" s="17"/>
      <c r="B71" s="17"/>
      <c r="C71" s="17"/>
      <c r="D71" s="17"/>
      <c r="E71" s="17"/>
      <c r="F71" s="17"/>
      <c r="G71" s="17"/>
      <c r="H71" s="17"/>
    </row>
    <row r="72" spans="1:8" ht="15.75" customHeight="1" x14ac:dyDescent="0.25">
      <c r="A72" s="17"/>
      <c r="B72" s="17"/>
      <c r="C72" s="17"/>
      <c r="D72" s="17"/>
      <c r="E72" s="17"/>
      <c r="F72" s="17"/>
      <c r="G72" s="17"/>
      <c r="H72" s="17"/>
    </row>
    <row r="73" spans="1:8" ht="15.75" customHeight="1" x14ac:dyDescent="0.25">
      <c r="A73" s="17"/>
      <c r="B73" s="17"/>
      <c r="C73" s="17"/>
      <c r="D73" s="17"/>
      <c r="E73" s="17"/>
      <c r="F73" s="17"/>
      <c r="G73" s="17"/>
      <c r="H73" s="17"/>
    </row>
    <row r="74" spans="1:8" ht="15.75" customHeight="1" x14ac:dyDescent="0.25">
      <c r="A74" s="17"/>
      <c r="B74" s="17"/>
      <c r="C74" s="17"/>
      <c r="D74" s="17"/>
      <c r="E74" s="17"/>
      <c r="F74" s="17"/>
      <c r="G74" s="17"/>
      <c r="H74" s="17"/>
    </row>
    <row r="75" spans="1:8" ht="15.75" customHeight="1" x14ac:dyDescent="0.25">
      <c r="A75" s="17"/>
      <c r="B75" s="17"/>
      <c r="C75" s="17"/>
      <c r="D75" s="17"/>
      <c r="E75" s="17"/>
      <c r="F75" s="17"/>
      <c r="G75" s="17"/>
      <c r="H75" s="17"/>
    </row>
    <row r="76" spans="1:8" ht="15.75" customHeight="1" x14ac:dyDescent="0.25">
      <c r="A76" s="17"/>
      <c r="B76" s="17"/>
      <c r="C76" s="17"/>
      <c r="D76" s="17"/>
      <c r="E76" s="17"/>
      <c r="F76" s="17"/>
      <c r="G76" s="17"/>
      <c r="H76" s="17"/>
    </row>
    <row r="77" spans="1:8" ht="15.75" customHeight="1" x14ac:dyDescent="0.25">
      <c r="A77" s="17"/>
      <c r="B77" s="17"/>
      <c r="C77" s="17"/>
      <c r="D77" s="17"/>
      <c r="E77" s="17"/>
      <c r="F77" s="17"/>
      <c r="G77" s="17"/>
      <c r="H77" s="17"/>
    </row>
    <row r="78" spans="1:8" ht="15.75" customHeight="1" x14ac:dyDescent="0.25">
      <c r="A78" s="17"/>
      <c r="B78" s="17"/>
      <c r="C78" s="17"/>
      <c r="D78" s="17"/>
      <c r="E78" s="17"/>
      <c r="F78" s="17"/>
      <c r="G78" s="17"/>
      <c r="H78" s="17"/>
    </row>
    <row r="79" spans="1:8" ht="15.75" customHeight="1" x14ac:dyDescent="0.25">
      <c r="A79" s="17"/>
      <c r="B79" s="17"/>
      <c r="C79" s="17"/>
      <c r="D79" s="17"/>
      <c r="E79" s="17"/>
      <c r="F79" s="17"/>
      <c r="G79" s="17"/>
      <c r="H79" s="17"/>
    </row>
    <row r="80" spans="1:8" ht="15.75" customHeight="1" x14ac:dyDescent="0.25">
      <c r="A80" s="17"/>
      <c r="B80" s="17"/>
      <c r="C80" s="17"/>
      <c r="D80" s="17"/>
      <c r="E80" s="17"/>
      <c r="F80" s="17"/>
      <c r="G80" s="17"/>
      <c r="H80" s="17"/>
    </row>
    <row r="81" spans="1:8" ht="15.75" customHeight="1" x14ac:dyDescent="0.25">
      <c r="A81" s="17"/>
      <c r="B81" s="17"/>
      <c r="C81" s="17"/>
      <c r="D81" s="17"/>
      <c r="E81" s="17"/>
      <c r="F81" s="17"/>
      <c r="G81" s="17"/>
      <c r="H81" s="17"/>
    </row>
    <row r="82" spans="1:8" ht="15.75" customHeight="1" x14ac:dyDescent="0.25">
      <c r="A82" s="17"/>
      <c r="B82" s="17"/>
      <c r="C82" s="17"/>
      <c r="D82" s="17"/>
      <c r="E82" s="17"/>
      <c r="F82" s="17"/>
      <c r="G82" s="17"/>
      <c r="H82" s="17"/>
    </row>
    <row r="83" spans="1:8" ht="15.75" customHeight="1" x14ac:dyDescent="0.25">
      <c r="A83" s="17"/>
      <c r="B83" s="17"/>
      <c r="C83" s="17"/>
      <c r="D83" s="17"/>
      <c r="E83" s="17"/>
      <c r="F83" s="17"/>
      <c r="G83" s="17"/>
      <c r="H83" s="17"/>
    </row>
    <row r="84" spans="1:8" ht="15.75" customHeight="1" x14ac:dyDescent="0.25">
      <c r="A84" s="17"/>
      <c r="B84" s="17"/>
      <c r="C84" s="17"/>
      <c r="D84" s="17"/>
      <c r="E84" s="17"/>
      <c r="F84" s="17"/>
      <c r="G84" s="17"/>
      <c r="H84" s="17"/>
    </row>
    <row r="85" spans="1:8" ht="15.75" customHeight="1" x14ac:dyDescent="0.25">
      <c r="A85" s="17"/>
      <c r="B85" s="17"/>
      <c r="C85" s="17"/>
      <c r="D85" s="17"/>
      <c r="E85" s="17"/>
      <c r="F85" s="17"/>
      <c r="G85" s="17"/>
      <c r="H85" s="17"/>
    </row>
    <row r="86" spans="1:8" ht="15.75" customHeight="1" x14ac:dyDescent="0.25">
      <c r="A86" s="17"/>
      <c r="B86" s="17"/>
      <c r="C86" s="17"/>
      <c r="D86" s="17"/>
      <c r="E86" s="17"/>
      <c r="F86" s="17"/>
      <c r="G86" s="17"/>
      <c r="H86" s="17"/>
    </row>
    <row r="87" spans="1:8" ht="15.75" customHeight="1" x14ac:dyDescent="0.25">
      <c r="A87" s="17"/>
      <c r="B87" s="17"/>
      <c r="C87" s="17"/>
      <c r="D87" s="17"/>
      <c r="E87" s="17"/>
      <c r="F87" s="17"/>
      <c r="G87" s="17"/>
      <c r="H87" s="17"/>
    </row>
    <row r="88" spans="1:8" ht="15.75" customHeight="1" x14ac:dyDescent="0.25">
      <c r="A88" s="17"/>
      <c r="B88" s="17"/>
      <c r="C88" s="17"/>
      <c r="D88" s="17"/>
      <c r="E88" s="17"/>
      <c r="F88" s="17"/>
      <c r="G88" s="17"/>
      <c r="H88" s="17"/>
    </row>
    <row r="89" spans="1:8" ht="15.75" customHeight="1" x14ac:dyDescent="0.25">
      <c r="A89" s="17"/>
      <c r="B89" s="17"/>
      <c r="C89" s="17"/>
      <c r="D89" s="17"/>
      <c r="E89" s="17"/>
      <c r="F89" s="17"/>
      <c r="G89" s="17"/>
      <c r="H89" s="17"/>
    </row>
    <row r="90" spans="1:8" ht="15.75" customHeight="1" x14ac:dyDescent="0.25">
      <c r="A90" s="17"/>
      <c r="B90" s="17"/>
      <c r="C90" s="17"/>
      <c r="D90" s="17"/>
      <c r="E90" s="17"/>
      <c r="F90" s="17"/>
      <c r="G90" s="17"/>
      <c r="H90" s="17"/>
    </row>
    <row r="91" spans="1:8" ht="15.75" customHeight="1" x14ac:dyDescent="0.25">
      <c r="A91" s="17"/>
      <c r="B91" s="17"/>
      <c r="C91" s="17"/>
      <c r="D91" s="17"/>
      <c r="E91" s="17"/>
      <c r="F91" s="17"/>
      <c r="G91" s="17"/>
      <c r="H91" s="17"/>
    </row>
    <row r="92" spans="1:8" ht="15.75" customHeight="1" x14ac:dyDescent="0.25">
      <c r="A92" s="17"/>
      <c r="B92" s="17"/>
      <c r="C92" s="17"/>
      <c r="D92" s="17"/>
      <c r="E92" s="17"/>
      <c r="F92" s="17"/>
      <c r="G92" s="17"/>
      <c r="H92" s="17"/>
    </row>
    <row r="93" spans="1:8" ht="15.75" customHeight="1" x14ac:dyDescent="0.25">
      <c r="A93" s="17"/>
      <c r="B93" s="17"/>
      <c r="C93" s="17"/>
      <c r="D93" s="17"/>
      <c r="E93" s="17"/>
      <c r="F93" s="17"/>
      <c r="G93" s="17"/>
      <c r="H93" s="17"/>
    </row>
    <row r="94" spans="1:8" ht="15.75" customHeight="1" x14ac:dyDescent="0.25">
      <c r="A94" s="17"/>
      <c r="B94" s="17"/>
      <c r="C94" s="17"/>
      <c r="D94" s="17"/>
      <c r="E94" s="17"/>
      <c r="F94" s="17"/>
      <c r="G94" s="17"/>
      <c r="H94" s="17"/>
    </row>
    <row r="95" spans="1:8" ht="15.75" customHeight="1" x14ac:dyDescent="0.25">
      <c r="A95" s="17"/>
      <c r="B95" s="17"/>
      <c r="C95" s="17"/>
      <c r="D95" s="17"/>
      <c r="E95" s="17"/>
      <c r="F95" s="17"/>
      <c r="G95" s="17"/>
      <c r="H95" s="17"/>
    </row>
    <row r="96" spans="1:8" ht="15.75" customHeight="1" x14ac:dyDescent="0.25">
      <c r="A96" s="17"/>
      <c r="B96" s="17"/>
      <c r="C96" s="17"/>
      <c r="D96" s="17"/>
      <c r="E96" s="17"/>
      <c r="F96" s="17"/>
      <c r="G96" s="17"/>
      <c r="H96" s="17"/>
    </row>
    <row r="97" spans="1:8" ht="15.75" customHeight="1" x14ac:dyDescent="0.25">
      <c r="A97" s="17"/>
      <c r="B97" s="17"/>
      <c r="C97" s="17"/>
      <c r="D97" s="17"/>
      <c r="E97" s="17"/>
      <c r="F97" s="17"/>
      <c r="G97" s="17"/>
      <c r="H97" s="17"/>
    </row>
    <row r="98" spans="1:8" ht="15.75" customHeight="1" x14ac:dyDescent="0.25">
      <c r="A98" s="17"/>
      <c r="B98" s="17"/>
      <c r="C98" s="17"/>
      <c r="D98" s="17"/>
      <c r="E98" s="17"/>
      <c r="F98" s="17"/>
      <c r="G98" s="17"/>
      <c r="H98" s="17"/>
    </row>
    <row r="99" spans="1:8" ht="15.75" customHeight="1" x14ac:dyDescent="0.25">
      <c r="A99" s="17"/>
      <c r="B99" s="17"/>
      <c r="C99" s="17"/>
      <c r="D99" s="17"/>
      <c r="E99" s="17"/>
      <c r="F99" s="17"/>
      <c r="G99" s="17"/>
      <c r="H99" s="17"/>
    </row>
    <row r="100" spans="1:8" ht="15.75" customHeight="1" x14ac:dyDescent="0.25">
      <c r="A100" s="17"/>
      <c r="B100" s="17"/>
      <c r="C100" s="17"/>
      <c r="D100" s="17"/>
      <c r="E100" s="17"/>
      <c r="F100" s="17"/>
      <c r="G100" s="17"/>
      <c r="H100" s="17"/>
    </row>
  </sheetData>
  <mergeCells count="19">
    <mergeCell ref="A1:H1"/>
    <mergeCell ref="A2:B2"/>
    <mergeCell ref="C2:D2"/>
    <mergeCell ref="E2:F2"/>
    <mergeCell ref="G2:H2"/>
    <mergeCell ref="A5:H5"/>
    <mergeCell ref="A32:D32"/>
    <mergeCell ref="A33:D33"/>
    <mergeCell ref="A34:D34"/>
    <mergeCell ref="C3:D3"/>
    <mergeCell ref="A17:D17"/>
    <mergeCell ref="A18:D18"/>
    <mergeCell ref="A19:D19"/>
    <mergeCell ref="A21:H21"/>
    <mergeCell ref="A29:D29"/>
    <mergeCell ref="A31:H31"/>
    <mergeCell ref="E3:F3"/>
    <mergeCell ref="G3:H3"/>
    <mergeCell ref="A3:B3"/>
  </mergeCells>
  <pageMargins left="0.75" right="0.75" top="1" bottom="1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2E86AB"/>
  </sheetPr>
  <dimension ref="A1:H100"/>
  <sheetViews>
    <sheetView workbookViewId="0">
      <selection sqref="A1:H1"/>
    </sheetView>
  </sheetViews>
  <sheetFormatPr defaultColWidth="14.42578125" defaultRowHeight="15" customHeight="1" x14ac:dyDescent="0.25"/>
  <cols>
    <col min="1" max="1" width="10" customWidth="1"/>
    <col min="2" max="2" width="26" customWidth="1"/>
    <col min="3" max="7" width="16" customWidth="1"/>
    <col min="8" max="8" width="20" customWidth="1"/>
  </cols>
  <sheetData>
    <row r="1" spans="1:8" ht="27.75" customHeight="1" x14ac:dyDescent="0.25">
      <c r="A1" s="163" t="s">
        <v>181</v>
      </c>
      <c r="B1" s="146"/>
      <c r="C1" s="146"/>
      <c r="D1" s="146"/>
      <c r="E1" s="146"/>
      <c r="F1" s="146"/>
      <c r="G1" s="146"/>
      <c r="H1" s="147"/>
    </row>
    <row r="2" spans="1:8" ht="18" customHeight="1" x14ac:dyDescent="0.25">
      <c r="A2" s="164" t="s">
        <v>34</v>
      </c>
      <c r="B2" s="147"/>
      <c r="C2" s="164" t="s">
        <v>35</v>
      </c>
      <c r="D2" s="147"/>
      <c r="E2" s="164" t="s">
        <v>36</v>
      </c>
      <c r="F2" s="147"/>
      <c r="G2" s="164" t="s">
        <v>37</v>
      </c>
      <c r="H2" s="147"/>
    </row>
    <row r="3" spans="1:8" ht="21.75" customHeight="1" x14ac:dyDescent="0.25">
      <c r="A3" s="162">
        <f>E29</f>
        <v>4275</v>
      </c>
      <c r="B3" s="147"/>
      <c r="C3" s="154">
        <f>E19</f>
        <v>3080</v>
      </c>
      <c r="D3" s="147"/>
      <c r="E3" s="160">
        <f>E29-E19</f>
        <v>1195</v>
      </c>
      <c r="F3" s="147"/>
      <c r="G3" s="161">
        <f>IF(E29&gt;0,(E29-E19)/E29,0)</f>
        <v>0.27953216374269008</v>
      </c>
      <c r="H3" s="147"/>
    </row>
    <row r="4" spans="1:8" ht="14.25" customHeight="1" x14ac:dyDescent="0.25">
      <c r="A4" s="17"/>
      <c r="B4" s="17"/>
      <c r="C4" s="17"/>
      <c r="D4" s="17"/>
      <c r="E4" s="17"/>
      <c r="F4" s="17"/>
      <c r="G4" s="17"/>
      <c r="H4" s="17"/>
    </row>
    <row r="5" spans="1:8" ht="19.5" customHeight="1" x14ac:dyDescent="0.25">
      <c r="A5" s="150" t="s">
        <v>182</v>
      </c>
      <c r="B5" s="146"/>
      <c r="C5" s="146"/>
      <c r="D5" s="146"/>
      <c r="E5" s="146"/>
      <c r="F5" s="146"/>
      <c r="G5" s="146"/>
      <c r="H5" s="147"/>
    </row>
    <row r="6" spans="1:8" ht="15" customHeight="1" x14ac:dyDescent="0.25">
      <c r="A6" s="36" t="s">
        <v>22</v>
      </c>
      <c r="B6" s="36" t="s">
        <v>39</v>
      </c>
      <c r="C6" s="36" t="s">
        <v>40</v>
      </c>
      <c r="D6" s="36" t="s">
        <v>41</v>
      </c>
      <c r="E6" s="36" t="s">
        <v>42</v>
      </c>
      <c r="F6" s="36" t="s">
        <v>43</v>
      </c>
      <c r="G6" s="36" t="s">
        <v>44</v>
      </c>
      <c r="H6" s="36"/>
    </row>
    <row r="7" spans="1:8" ht="15" customHeight="1" x14ac:dyDescent="0.25">
      <c r="A7" s="37" t="s">
        <v>183</v>
      </c>
      <c r="B7" s="38" t="s">
        <v>46</v>
      </c>
      <c r="C7" s="37" t="s">
        <v>167</v>
      </c>
      <c r="D7" s="37" t="s">
        <v>48</v>
      </c>
      <c r="E7" s="39">
        <v>86</v>
      </c>
      <c r="F7" s="37"/>
      <c r="G7" s="37"/>
      <c r="H7" s="37"/>
    </row>
    <row r="8" spans="1:8" ht="15" customHeight="1" x14ac:dyDescent="0.25">
      <c r="A8" s="40" t="s">
        <v>183</v>
      </c>
      <c r="B8" s="41" t="s">
        <v>49</v>
      </c>
      <c r="C8" s="40"/>
      <c r="D8" s="40" t="s">
        <v>50</v>
      </c>
      <c r="E8" s="42">
        <v>216</v>
      </c>
      <c r="F8" s="40"/>
      <c r="G8" s="40"/>
      <c r="H8" s="40"/>
    </row>
    <row r="9" spans="1:8" ht="15" customHeight="1" x14ac:dyDescent="0.25">
      <c r="A9" s="37" t="s">
        <v>183</v>
      </c>
      <c r="B9" s="38" t="s">
        <v>51</v>
      </c>
      <c r="C9" s="37"/>
      <c r="D9" s="37" t="s">
        <v>50</v>
      </c>
      <c r="E9" s="39">
        <v>230</v>
      </c>
      <c r="F9" s="37"/>
      <c r="G9" s="37"/>
      <c r="H9" s="37"/>
    </row>
    <row r="10" spans="1:8" ht="15" customHeight="1" x14ac:dyDescent="0.25">
      <c r="A10" s="40" t="s">
        <v>183</v>
      </c>
      <c r="B10" s="41" t="s">
        <v>52</v>
      </c>
      <c r="C10" s="40"/>
      <c r="D10" s="40" t="s">
        <v>50</v>
      </c>
      <c r="E10" s="42">
        <v>95</v>
      </c>
      <c r="F10" s="40"/>
      <c r="G10" s="40"/>
      <c r="H10" s="40"/>
    </row>
    <row r="11" spans="1:8" ht="15" customHeight="1" x14ac:dyDescent="0.25">
      <c r="A11" s="37" t="s">
        <v>183</v>
      </c>
      <c r="B11" s="38" t="s">
        <v>53</v>
      </c>
      <c r="C11" s="37"/>
      <c r="D11" s="37" t="s">
        <v>50</v>
      </c>
      <c r="E11" s="39">
        <v>120</v>
      </c>
      <c r="F11" s="37"/>
      <c r="G11" s="37"/>
      <c r="H11" s="37"/>
    </row>
    <row r="12" spans="1:8" ht="15" customHeight="1" x14ac:dyDescent="0.25">
      <c r="A12" s="40" t="s">
        <v>183</v>
      </c>
      <c r="B12" s="41" t="s">
        <v>54</v>
      </c>
      <c r="C12" s="40"/>
      <c r="D12" s="40" t="s">
        <v>50</v>
      </c>
      <c r="E12" s="42">
        <v>288</v>
      </c>
      <c r="F12" s="40"/>
      <c r="G12" s="40"/>
      <c r="H12" s="40"/>
    </row>
    <row r="13" spans="1:8" ht="15" customHeight="1" x14ac:dyDescent="0.25">
      <c r="A13" s="37" t="s">
        <v>183</v>
      </c>
      <c r="B13" s="38" t="s">
        <v>55</v>
      </c>
      <c r="C13" s="37"/>
      <c r="D13" s="37" t="s">
        <v>50</v>
      </c>
      <c r="E13" s="39">
        <v>135</v>
      </c>
      <c r="F13" s="37"/>
      <c r="G13" s="37"/>
      <c r="H13" s="37"/>
    </row>
    <row r="14" spans="1:8" ht="15" customHeight="1" x14ac:dyDescent="0.25">
      <c r="A14" s="40" t="s">
        <v>183</v>
      </c>
      <c r="B14" s="40" t="s">
        <v>126</v>
      </c>
      <c r="C14" s="31"/>
      <c r="D14" s="40" t="s">
        <v>50</v>
      </c>
      <c r="E14" s="107">
        <f>'💳 Empréstimo'!F21</f>
        <v>560</v>
      </c>
      <c r="F14" s="31"/>
      <c r="G14" s="40" t="s">
        <v>184</v>
      </c>
      <c r="H14" s="31"/>
    </row>
    <row r="15" spans="1:8" ht="15" customHeight="1" x14ac:dyDescent="0.25">
      <c r="A15" s="31"/>
      <c r="B15" s="31"/>
      <c r="C15" s="31"/>
      <c r="D15" s="31"/>
      <c r="E15" s="29"/>
      <c r="F15" s="31"/>
      <c r="G15" s="31"/>
      <c r="H15" s="31"/>
    </row>
    <row r="16" spans="1:8" ht="15" customHeight="1" x14ac:dyDescent="0.25">
      <c r="A16" s="31"/>
      <c r="B16" s="31"/>
      <c r="C16" s="31"/>
      <c r="D16" s="31"/>
      <c r="E16" s="29"/>
      <c r="F16" s="31"/>
      <c r="G16" s="31"/>
      <c r="H16" s="31"/>
    </row>
    <row r="17" spans="1:8" ht="15" customHeight="1" x14ac:dyDescent="0.25">
      <c r="A17" s="155" t="s">
        <v>56</v>
      </c>
      <c r="B17" s="152"/>
      <c r="C17" s="152"/>
      <c r="D17" s="153"/>
      <c r="E17" s="43">
        <f>SUM(E7:E16)</f>
        <v>1730</v>
      </c>
      <c r="F17" s="44"/>
      <c r="G17" s="44"/>
      <c r="H17" s="44"/>
    </row>
    <row r="18" spans="1:8" ht="15" customHeight="1" x14ac:dyDescent="0.25">
      <c r="A18" s="156" t="s">
        <v>57</v>
      </c>
      <c r="B18" s="152"/>
      <c r="C18" s="152"/>
      <c r="D18" s="153"/>
      <c r="E18" s="45">
        <v>1350</v>
      </c>
      <c r="F18" s="44"/>
      <c r="G18" s="44"/>
      <c r="H18" s="44"/>
    </row>
    <row r="19" spans="1:8" ht="15" customHeight="1" x14ac:dyDescent="0.25">
      <c r="A19" s="157" t="s">
        <v>58</v>
      </c>
      <c r="B19" s="152"/>
      <c r="C19" s="152"/>
      <c r="D19" s="153"/>
      <c r="E19" s="46">
        <f>E17+E18</f>
        <v>3080</v>
      </c>
      <c r="F19" s="47"/>
      <c r="G19" s="47"/>
      <c r="H19" s="47"/>
    </row>
    <row r="20" spans="1:8" ht="14.25" customHeight="1" x14ac:dyDescent="0.25">
      <c r="A20" s="17"/>
      <c r="B20" s="17"/>
      <c r="C20" s="17"/>
      <c r="D20" s="17"/>
      <c r="E20" s="17"/>
      <c r="F20" s="17"/>
      <c r="G20" s="17"/>
      <c r="H20" s="17"/>
    </row>
    <row r="21" spans="1:8" ht="19.5" customHeight="1" x14ac:dyDescent="0.25">
      <c r="A21" s="158" t="s">
        <v>185</v>
      </c>
      <c r="B21" s="146"/>
      <c r="C21" s="146"/>
      <c r="D21" s="146"/>
      <c r="E21" s="146"/>
      <c r="F21" s="146"/>
      <c r="G21" s="146"/>
      <c r="H21" s="147"/>
    </row>
    <row r="22" spans="1:8" ht="15" customHeight="1" x14ac:dyDescent="0.25">
      <c r="A22" s="48" t="s">
        <v>22</v>
      </c>
      <c r="B22" s="48" t="s">
        <v>39</v>
      </c>
      <c r="C22" s="48" t="s">
        <v>40</v>
      </c>
      <c r="D22" s="48" t="s">
        <v>41</v>
      </c>
      <c r="E22" s="48" t="s">
        <v>42</v>
      </c>
      <c r="F22" s="48" t="s">
        <v>60</v>
      </c>
      <c r="G22" s="48" t="s">
        <v>44</v>
      </c>
      <c r="H22" s="48"/>
    </row>
    <row r="23" spans="1:8" ht="15" customHeight="1" x14ac:dyDescent="0.25">
      <c r="A23" s="49" t="s">
        <v>183</v>
      </c>
      <c r="B23" s="50" t="s">
        <v>61</v>
      </c>
      <c r="C23" s="49" t="s">
        <v>62</v>
      </c>
      <c r="D23" s="49" t="s">
        <v>50</v>
      </c>
      <c r="E23" s="51">
        <v>1475</v>
      </c>
      <c r="F23" s="49"/>
      <c r="G23" s="49"/>
      <c r="H23" s="49"/>
    </row>
    <row r="24" spans="1:8" ht="15" customHeight="1" x14ac:dyDescent="0.25">
      <c r="A24" s="52" t="s">
        <v>183</v>
      </c>
      <c r="B24" s="53" t="s">
        <v>63</v>
      </c>
      <c r="C24" s="52" t="s">
        <v>62</v>
      </c>
      <c r="D24" s="52" t="s">
        <v>50</v>
      </c>
      <c r="E24" s="54">
        <v>1300</v>
      </c>
      <c r="F24" s="52"/>
      <c r="G24" s="52"/>
      <c r="H24" s="52"/>
    </row>
    <row r="25" spans="1:8" ht="15" customHeight="1" x14ac:dyDescent="0.25">
      <c r="A25" s="49" t="s">
        <v>183</v>
      </c>
      <c r="B25" s="50" t="s">
        <v>64</v>
      </c>
      <c r="C25" s="49" t="s">
        <v>62</v>
      </c>
      <c r="D25" s="49" t="s">
        <v>50</v>
      </c>
      <c r="E25" s="51">
        <v>1500</v>
      </c>
      <c r="F25" s="49"/>
      <c r="G25" s="49"/>
      <c r="H25" s="49"/>
    </row>
    <row r="26" spans="1:8" ht="15" customHeight="1" x14ac:dyDescent="0.25">
      <c r="A26" s="52"/>
      <c r="B26" s="53"/>
      <c r="C26" s="52"/>
      <c r="D26" s="52"/>
      <c r="E26" s="54"/>
      <c r="F26" s="52"/>
      <c r="G26" s="52"/>
      <c r="H26" s="52"/>
    </row>
    <row r="27" spans="1:8" ht="15" customHeight="1" x14ac:dyDescent="0.25">
      <c r="A27" s="55"/>
      <c r="B27" s="55"/>
      <c r="C27" s="55"/>
      <c r="D27" s="55"/>
      <c r="E27" s="56"/>
      <c r="F27" s="55"/>
      <c r="G27" s="55"/>
      <c r="H27" s="55"/>
    </row>
    <row r="28" spans="1:8" ht="15" customHeight="1" x14ac:dyDescent="0.25">
      <c r="A28" s="55"/>
      <c r="B28" s="55"/>
      <c r="C28" s="55"/>
      <c r="D28" s="55"/>
      <c r="E28" s="56"/>
      <c r="F28" s="55"/>
      <c r="G28" s="55"/>
      <c r="H28" s="55"/>
    </row>
    <row r="29" spans="1:8" ht="15" customHeight="1" x14ac:dyDescent="0.25">
      <c r="A29" s="157" t="s">
        <v>66</v>
      </c>
      <c r="B29" s="152"/>
      <c r="C29" s="152"/>
      <c r="D29" s="153"/>
      <c r="E29" s="46">
        <f>SUM(E23:E28)</f>
        <v>4275</v>
      </c>
      <c r="F29" s="47"/>
      <c r="G29" s="47"/>
      <c r="H29" s="47"/>
    </row>
    <row r="30" spans="1:8" ht="15.75" customHeight="1" x14ac:dyDescent="0.25">
      <c r="A30" s="17"/>
      <c r="B30" s="17"/>
      <c r="C30" s="17"/>
      <c r="D30" s="17"/>
      <c r="E30" s="17"/>
      <c r="F30" s="17"/>
      <c r="G30" s="17"/>
      <c r="H30" s="17"/>
    </row>
    <row r="31" spans="1:8" ht="19.5" customHeight="1" x14ac:dyDescent="0.25">
      <c r="A31" s="159" t="s">
        <v>67</v>
      </c>
      <c r="B31" s="146"/>
      <c r="C31" s="146"/>
      <c r="D31" s="146"/>
      <c r="E31" s="146"/>
      <c r="F31" s="146"/>
      <c r="G31" s="146"/>
      <c r="H31" s="147"/>
    </row>
    <row r="32" spans="1:8" ht="15" customHeight="1" x14ac:dyDescent="0.25">
      <c r="A32" s="151" t="s">
        <v>68</v>
      </c>
      <c r="B32" s="152"/>
      <c r="C32" s="152"/>
      <c r="D32" s="153"/>
      <c r="E32" s="57">
        <f>E29-E19</f>
        <v>1195</v>
      </c>
      <c r="F32" s="58"/>
      <c r="G32" s="58"/>
      <c r="H32" s="58"/>
    </row>
    <row r="33" spans="1:8" ht="15" customHeight="1" x14ac:dyDescent="0.25">
      <c r="A33" s="151" t="s">
        <v>76</v>
      </c>
      <c r="B33" s="152"/>
      <c r="C33" s="152"/>
      <c r="D33" s="153"/>
      <c r="E33" s="57">
        <f>0.7*(E29-E19)</f>
        <v>836.5</v>
      </c>
      <c r="F33" s="58"/>
      <c r="G33" s="58"/>
      <c r="H33" s="58"/>
    </row>
    <row r="34" spans="1:8" ht="15" customHeight="1" x14ac:dyDescent="0.25">
      <c r="A34" s="151" t="s">
        <v>70</v>
      </c>
      <c r="B34" s="152"/>
      <c r="C34" s="152"/>
      <c r="D34" s="153"/>
      <c r="E34" s="57">
        <f>E19/6</f>
        <v>513.33333333333337</v>
      </c>
      <c r="F34" s="58"/>
      <c r="G34" s="58"/>
      <c r="H34" s="58"/>
    </row>
    <row r="35" spans="1:8" ht="15.75" customHeight="1" x14ac:dyDescent="0.25">
      <c r="A35" s="17"/>
      <c r="B35" s="17"/>
      <c r="C35" s="17"/>
      <c r="D35" s="17"/>
      <c r="E35" s="17"/>
      <c r="F35" s="17"/>
      <c r="G35" s="17"/>
      <c r="H35" s="17"/>
    </row>
    <row r="36" spans="1:8" ht="15.75" customHeight="1" x14ac:dyDescent="0.25">
      <c r="A36" s="17"/>
      <c r="B36" s="17"/>
      <c r="C36" s="17"/>
      <c r="D36" s="17"/>
      <c r="E36" s="17"/>
      <c r="F36" s="17"/>
      <c r="G36" s="17"/>
      <c r="H36" s="17"/>
    </row>
    <row r="37" spans="1:8" ht="15.75" customHeight="1" x14ac:dyDescent="0.25">
      <c r="A37" s="17"/>
      <c r="B37" s="17"/>
      <c r="C37" s="17"/>
      <c r="D37" s="17"/>
      <c r="E37" s="17"/>
      <c r="F37" s="17"/>
      <c r="G37" s="17"/>
      <c r="H37" s="17"/>
    </row>
    <row r="38" spans="1:8" ht="15.75" customHeight="1" x14ac:dyDescent="0.25">
      <c r="A38" s="17"/>
      <c r="B38" s="17"/>
      <c r="C38" s="17"/>
      <c r="D38" s="17"/>
      <c r="E38" s="17"/>
      <c r="F38" s="17"/>
      <c r="G38" s="17"/>
      <c r="H38" s="17"/>
    </row>
    <row r="39" spans="1:8" ht="15.75" customHeight="1" x14ac:dyDescent="0.25">
      <c r="A39" s="17"/>
      <c r="B39" s="17"/>
      <c r="C39" s="17"/>
      <c r="D39" s="17"/>
      <c r="E39" s="17"/>
      <c r="F39" s="17"/>
      <c r="G39" s="17"/>
      <c r="H39" s="17"/>
    </row>
    <row r="40" spans="1:8" ht="15.75" customHeight="1" x14ac:dyDescent="0.25">
      <c r="A40" s="17"/>
      <c r="B40" s="17"/>
      <c r="C40" s="17"/>
      <c r="D40" s="17"/>
      <c r="E40" s="17"/>
      <c r="F40" s="17"/>
      <c r="G40" s="17"/>
      <c r="H40" s="17"/>
    </row>
    <row r="41" spans="1:8" ht="15.75" customHeight="1" x14ac:dyDescent="0.25">
      <c r="A41" s="17"/>
      <c r="B41" s="17"/>
      <c r="C41" s="17"/>
      <c r="D41" s="17"/>
      <c r="E41" s="17"/>
      <c r="F41" s="17"/>
      <c r="G41" s="17"/>
      <c r="H41" s="17"/>
    </row>
    <row r="42" spans="1:8" ht="15.75" customHeight="1" x14ac:dyDescent="0.25">
      <c r="A42" s="17"/>
      <c r="B42" s="17"/>
      <c r="C42" s="17"/>
      <c r="D42" s="17"/>
      <c r="E42" s="17"/>
      <c r="F42" s="17"/>
      <c r="G42" s="17"/>
      <c r="H42" s="17"/>
    </row>
    <row r="43" spans="1:8" ht="15.75" customHeight="1" x14ac:dyDescent="0.25">
      <c r="A43" s="17"/>
      <c r="B43" s="17"/>
      <c r="C43" s="17"/>
      <c r="D43" s="17"/>
      <c r="E43" s="17"/>
      <c r="F43" s="17"/>
      <c r="G43" s="17"/>
      <c r="H43" s="17"/>
    </row>
    <row r="44" spans="1:8" ht="15.75" customHeight="1" x14ac:dyDescent="0.25">
      <c r="A44" s="17"/>
      <c r="B44" s="17"/>
      <c r="C44" s="17"/>
      <c r="D44" s="17"/>
      <c r="E44" s="17"/>
      <c r="F44" s="17"/>
      <c r="G44" s="17"/>
      <c r="H44" s="17"/>
    </row>
    <row r="45" spans="1:8" ht="15.75" customHeight="1" x14ac:dyDescent="0.25">
      <c r="A45" s="17"/>
      <c r="B45" s="17"/>
      <c r="C45" s="17"/>
      <c r="D45" s="17"/>
      <c r="E45" s="17"/>
      <c r="F45" s="17"/>
      <c r="G45" s="17"/>
      <c r="H45" s="17"/>
    </row>
    <row r="46" spans="1:8" ht="15.75" customHeight="1" x14ac:dyDescent="0.25">
      <c r="A46" s="17"/>
      <c r="B46" s="17"/>
      <c r="C46" s="17"/>
      <c r="D46" s="17"/>
      <c r="E46" s="17"/>
      <c r="F46" s="17"/>
      <c r="G46" s="17"/>
      <c r="H46" s="17"/>
    </row>
    <row r="47" spans="1:8" ht="15.75" customHeight="1" x14ac:dyDescent="0.25">
      <c r="A47" s="17"/>
      <c r="B47" s="17"/>
      <c r="C47" s="17"/>
      <c r="D47" s="17"/>
      <c r="E47" s="17"/>
      <c r="F47" s="17"/>
      <c r="G47" s="17"/>
      <c r="H47" s="17"/>
    </row>
    <row r="48" spans="1:8" ht="15.75" customHeight="1" x14ac:dyDescent="0.25">
      <c r="A48" s="17"/>
      <c r="B48" s="17"/>
      <c r="C48" s="17"/>
      <c r="D48" s="17"/>
      <c r="E48" s="17"/>
      <c r="F48" s="17"/>
      <c r="G48" s="17"/>
      <c r="H48" s="17"/>
    </row>
    <row r="49" spans="1:8" ht="15.75" customHeight="1" x14ac:dyDescent="0.25">
      <c r="A49" s="17"/>
      <c r="B49" s="17"/>
      <c r="C49" s="17"/>
      <c r="D49" s="17"/>
      <c r="E49" s="17"/>
      <c r="F49" s="17"/>
      <c r="G49" s="17"/>
      <c r="H49" s="17"/>
    </row>
    <row r="50" spans="1:8" ht="15.75" customHeight="1" x14ac:dyDescent="0.25">
      <c r="A50" s="17"/>
      <c r="B50" s="17"/>
      <c r="C50" s="17"/>
      <c r="D50" s="17"/>
      <c r="E50" s="17"/>
      <c r="F50" s="17"/>
      <c r="G50" s="17"/>
      <c r="H50" s="17"/>
    </row>
    <row r="51" spans="1:8" ht="15.75" customHeight="1" x14ac:dyDescent="0.25">
      <c r="A51" s="17"/>
      <c r="B51" s="17"/>
      <c r="C51" s="17"/>
      <c r="D51" s="17"/>
      <c r="E51" s="17"/>
      <c r="F51" s="17"/>
      <c r="G51" s="17"/>
      <c r="H51" s="17"/>
    </row>
    <row r="52" spans="1:8" ht="15.75" customHeight="1" x14ac:dyDescent="0.25">
      <c r="A52" s="17"/>
      <c r="B52" s="17"/>
      <c r="C52" s="17"/>
      <c r="D52" s="17"/>
      <c r="E52" s="17"/>
      <c r="F52" s="17"/>
      <c r="G52" s="17"/>
      <c r="H52" s="17"/>
    </row>
    <row r="53" spans="1:8" ht="15.75" customHeight="1" x14ac:dyDescent="0.25">
      <c r="A53" s="17"/>
      <c r="B53" s="17"/>
      <c r="C53" s="17"/>
      <c r="D53" s="17"/>
      <c r="E53" s="17"/>
      <c r="F53" s="17"/>
      <c r="G53" s="17"/>
      <c r="H53" s="17"/>
    </row>
    <row r="54" spans="1:8" ht="15.75" customHeight="1" x14ac:dyDescent="0.25">
      <c r="A54" s="17"/>
      <c r="B54" s="17"/>
      <c r="C54" s="17"/>
      <c r="D54" s="17"/>
      <c r="E54" s="17"/>
      <c r="F54" s="17"/>
      <c r="G54" s="17"/>
      <c r="H54" s="17"/>
    </row>
    <row r="55" spans="1:8" ht="15.75" customHeight="1" x14ac:dyDescent="0.25">
      <c r="A55" s="17"/>
      <c r="B55" s="17"/>
      <c r="C55" s="17"/>
      <c r="D55" s="17"/>
      <c r="E55" s="17"/>
      <c r="F55" s="17"/>
      <c r="G55" s="17"/>
      <c r="H55" s="17"/>
    </row>
    <row r="56" spans="1:8" ht="15.75" customHeight="1" x14ac:dyDescent="0.25">
      <c r="A56" s="17"/>
      <c r="B56" s="17"/>
      <c r="C56" s="17"/>
      <c r="D56" s="17"/>
      <c r="E56" s="17"/>
      <c r="F56" s="17"/>
      <c r="G56" s="17"/>
      <c r="H56" s="17"/>
    </row>
    <row r="57" spans="1:8" ht="15.75" customHeight="1" x14ac:dyDescent="0.25">
      <c r="A57" s="17"/>
      <c r="B57" s="17"/>
      <c r="C57" s="17"/>
      <c r="D57" s="17"/>
      <c r="E57" s="17"/>
      <c r="F57" s="17"/>
      <c r="G57" s="17"/>
      <c r="H57" s="17"/>
    </row>
    <row r="58" spans="1:8" ht="15.75" customHeight="1" x14ac:dyDescent="0.25">
      <c r="A58" s="17"/>
      <c r="B58" s="17"/>
      <c r="C58" s="17"/>
      <c r="D58" s="17"/>
      <c r="E58" s="17"/>
      <c r="F58" s="17"/>
      <c r="G58" s="17"/>
      <c r="H58" s="17"/>
    </row>
    <row r="59" spans="1:8" ht="15.75" customHeight="1" x14ac:dyDescent="0.25">
      <c r="A59" s="17"/>
      <c r="B59" s="17"/>
      <c r="C59" s="17"/>
      <c r="D59" s="17"/>
      <c r="E59" s="17"/>
      <c r="F59" s="17"/>
      <c r="G59" s="17"/>
      <c r="H59" s="17"/>
    </row>
    <row r="60" spans="1:8" ht="15.75" customHeight="1" x14ac:dyDescent="0.25">
      <c r="A60" s="17"/>
      <c r="B60" s="17"/>
      <c r="C60" s="17"/>
      <c r="D60" s="17"/>
      <c r="E60" s="17"/>
      <c r="F60" s="17"/>
      <c r="G60" s="17"/>
      <c r="H60" s="17"/>
    </row>
    <row r="61" spans="1:8" ht="15.75" customHeight="1" x14ac:dyDescent="0.25">
      <c r="A61" s="17"/>
      <c r="B61" s="17"/>
      <c r="C61" s="17"/>
      <c r="D61" s="17"/>
      <c r="E61" s="17"/>
      <c r="F61" s="17"/>
      <c r="G61" s="17"/>
      <c r="H61" s="17"/>
    </row>
    <row r="62" spans="1:8" ht="15.75" customHeight="1" x14ac:dyDescent="0.25">
      <c r="A62" s="17"/>
      <c r="B62" s="17"/>
      <c r="C62" s="17"/>
      <c r="D62" s="17"/>
      <c r="E62" s="17"/>
      <c r="F62" s="17"/>
      <c r="G62" s="17"/>
      <c r="H62" s="17"/>
    </row>
    <row r="63" spans="1:8" ht="15.75" customHeight="1" x14ac:dyDescent="0.25">
      <c r="A63" s="17"/>
      <c r="B63" s="17"/>
      <c r="C63" s="17"/>
      <c r="D63" s="17"/>
      <c r="E63" s="17"/>
      <c r="F63" s="17"/>
      <c r="G63" s="17"/>
      <c r="H63" s="17"/>
    </row>
    <row r="64" spans="1:8" ht="15.75" customHeight="1" x14ac:dyDescent="0.25">
      <c r="A64" s="17"/>
      <c r="B64" s="17"/>
      <c r="C64" s="17"/>
      <c r="D64" s="17"/>
      <c r="E64" s="17"/>
      <c r="F64" s="17"/>
      <c r="G64" s="17"/>
      <c r="H64" s="17"/>
    </row>
    <row r="65" spans="1:8" ht="15.75" customHeight="1" x14ac:dyDescent="0.25">
      <c r="A65" s="17"/>
      <c r="B65" s="17"/>
      <c r="C65" s="17"/>
      <c r="D65" s="17"/>
      <c r="E65" s="17"/>
      <c r="F65" s="17"/>
      <c r="G65" s="17"/>
      <c r="H65" s="17"/>
    </row>
    <row r="66" spans="1:8" ht="15.75" customHeight="1" x14ac:dyDescent="0.25">
      <c r="A66" s="17"/>
      <c r="B66" s="17"/>
      <c r="C66" s="17"/>
      <c r="D66" s="17"/>
      <c r="E66" s="17"/>
      <c r="F66" s="17"/>
      <c r="G66" s="17"/>
      <c r="H66" s="17"/>
    </row>
    <row r="67" spans="1:8" ht="15.75" customHeight="1" x14ac:dyDescent="0.25">
      <c r="A67" s="17"/>
      <c r="B67" s="17"/>
      <c r="C67" s="17"/>
      <c r="D67" s="17"/>
      <c r="E67" s="17"/>
      <c r="F67" s="17"/>
      <c r="G67" s="17"/>
      <c r="H67" s="17"/>
    </row>
    <row r="68" spans="1:8" ht="15.75" customHeight="1" x14ac:dyDescent="0.25">
      <c r="A68" s="17"/>
      <c r="B68" s="17"/>
      <c r="C68" s="17"/>
      <c r="D68" s="17"/>
      <c r="E68" s="17"/>
      <c r="F68" s="17"/>
      <c r="G68" s="17"/>
      <c r="H68" s="17"/>
    </row>
    <row r="69" spans="1:8" ht="15.75" customHeight="1" x14ac:dyDescent="0.25">
      <c r="A69" s="17"/>
      <c r="B69" s="17"/>
      <c r="C69" s="17"/>
      <c r="D69" s="17"/>
      <c r="E69" s="17"/>
      <c r="F69" s="17"/>
      <c r="G69" s="17"/>
      <c r="H69" s="17"/>
    </row>
    <row r="70" spans="1:8" ht="15.75" customHeight="1" x14ac:dyDescent="0.25">
      <c r="A70" s="17"/>
      <c r="B70" s="17"/>
      <c r="C70" s="17"/>
      <c r="D70" s="17"/>
      <c r="E70" s="17"/>
      <c r="F70" s="17"/>
      <c r="G70" s="17"/>
      <c r="H70" s="17"/>
    </row>
    <row r="71" spans="1:8" ht="15.75" customHeight="1" x14ac:dyDescent="0.25">
      <c r="A71" s="17"/>
      <c r="B71" s="17"/>
      <c r="C71" s="17"/>
      <c r="D71" s="17"/>
      <c r="E71" s="17"/>
      <c r="F71" s="17"/>
      <c r="G71" s="17"/>
      <c r="H71" s="17"/>
    </row>
    <row r="72" spans="1:8" ht="15.75" customHeight="1" x14ac:dyDescent="0.25">
      <c r="A72" s="17"/>
      <c r="B72" s="17"/>
      <c r="C72" s="17"/>
      <c r="D72" s="17"/>
      <c r="E72" s="17"/>
      <c r="F72" s="17"/>
      <c r="G72" s="17"/>
      <c r="H72" s="17"/>
    </row>
    <row r="73" spans="1:8" ht="15.75" customHeight="1" x14ac:dyDescent="0.25">
      <c r="A73" s="17"/>
      <c r="B73" s="17"/>
      <c r="C73" s="17"/>
      <c r="D73" s="17"/>
      <c r="E73" s="17"/>
      <c r="F73" s="17"/>
      <c r="G73" s="17"/>
      <c r="H73" s="17"/>
    </row>
    <row r="74" spans="1:8" ht="15.75" customHeight="1" x14ac:dyDescent="0.25">
      <c r="A74" s="17"/>
      <c r="B74" s="17"/>
      <c r="C74" s="17"/>
      <c r="D74" s="17"/>
      <c r="E74" s="17"/>
      <c r="F74" s="17"/>
      <c r="G74" s="17"/>
      <c r="H74" s="17"/>
    </row>
    <row r="75" spans="1:8" ht="15.75" customHeight="1" x14ac:dyDescent="0.25">
      <c r="A75" s="17"/>
      <c r="B75" s="17"/>
      <c r="C75" s="17"/>
      <c r="D75" s="17"/>
      <c r="E75" s="17"/>
      <c r="F75" s="17"/>
      <c r="G75" s="17"/>
      <c r="H75" s="17"/>
    </row>
    <row r="76" spans="1:8" ht="15.75" customHeight="1" x14ac:dyDescent="0.25">
      <c r="A76" s="17"/>
      <c r="B76" s="17"/>
      <c r="C76" s="17"/>
      <c r="D76" s="17"/>
      <c r="E76" s="17"/>
      <c r="F76" s="17"/>
      <c r="G76" s="17"/>
      <c r="H76" s="17"/>
    </row>
    <row r="77" spans="1:8" ht="15.75" customHeight="1" x14ac:dyDescent="0.25">
      <c r="A77" s="17"/>
      <c r="B77" s="17"/>
      <c r="C77" s="17"/>
      <c r="D77" s="17"/>
      <c r="E77" s="17"/>
      <c r="F77" s="17"/>
      <c r="G77" s="17"/>
      <c r="H77" s="17"/>
    </row>
    <row r="78" spans="1:8" ht="15.75" customHeight="1" x14ac:dyDescent="0.25">
      <c r="A78" s="17"/>
      <c r="B78" s="17"/>
      <c r="C78" s="17"/>
      <c r="D78" s="17"/>
      <c r="E78" s="17"/>
      <c r="F78" s="17"/>
      <c r="G78" s="17"/>
      <c r="H78" s="17"/>
    </row>
    <row r="79" spans="1:8" ht="15.75" customHeight="1" x14ac:dyDescent="0.25">
      <c r="A79" s="17"/>
      <c r="B79" s="17"/>
      <c r="C79" s="17"/>
      <c r="D79" s="17"/>
      <c r="E79" s="17"/>
      <c r="F79" s="17"/>
      <c r="G79" s="17"/>
      <c r="H79" s="17"/>
    </row>
    <row r="80" spans="1:8" ht="15.75" customHeight="1" x14ac:dyDescent="0.25">
      <c r="A80" s="17"/>
      <c r="B80" s="17"/>
      <c r="C80" s="17"/>
      <c r="D80" s="17"/>
      <c r="E80" s="17"/>
      <c r="F80" s="17"/>
      <c r="G80" s="17"/>
      <c r="H80" s="17"/>
    </row>
    <row r="81" spans="1:8" ht="15.75" customHeight="1" x14ac:dyDescent="0.25">
      <c r="A81" s="17"/>
      <c r="B81" s="17"/>
      <c r="C81" s="17"/>
      <c r="D81" s="17"/>
      <c r="E81" s="17"/>
      <c r="F81" s="17"/>
      <c r="G81" s="17"/>
      <c r="H81" s="17"/>
    </row>
    <row r="82" spans="1:8" ht="15.75" customHeight="1" x14ac:dyDescent="0.25">
      <c r="A82" s="17"/>
      <c r="B82" s="17"/>
      <c r="C82" s="17"/>
      <c r="D82" s="17"/>
      <c r="E82" s="17"/>
      <c r="F82" s="17"/>
      <c r="G82" s="17"/>
      <c r="H82" s="17"/>
    </row>
    <row r="83" spans="1:8" ht="15.75" customHeight="1" x14ac:dyDescent="0.25">
      <c r="A83" s="17"/>
      <c r="B83" s="17"/>
      <c r="C83" s="17"/>
      <c r="D83" s="17"/>
      <c r="E83" s="17"/>
      <c r="F83" s="17"/>
      <c r="G83" s="17"/>
      <c r="H83" s="17"/>
    </row>
    <row r="84" spans="1:8" ht="15.75" customHeight="1" x14ac:dyDescent="0.25">
      <c r="A84" s="17"/>
      <c r="B84" s="17"/>
      <c r="C84" s="17"/>
      <c r="D84" s="17"/>
      <c r="E84" s="17"/>
      <c r="F84" s="17"/>
      <c r="G84" s="17"/>
      <c r="H84" s="17"/>
    </row>
    <row r="85" spans="1:8" ht="15.75" customHeight="1" x14ac:dyDescent="0.25">
      <c r="A85" s="17"/>
      <c r="B85" s="17"/>
      <c r="C85" s="17"/>
      <c r="D85" s="17"/>
      <c r="E85" s="17"/>
      <c r="F85" s="17"/>
      <c r="G85" s="17"/>
      <c r="H85" s="17"/>
    </row>
    <row r="86" spans="1:8" ht="15.75" customHeight="1" x14ac:dyDescent="0.25">
      <c r="A86" s="17"/>
      <c r="B86" s="17"/>
      <c r="C86" s="17"/>
      <c r="D86" s="17"/>
      <c r="E86" s="17"/>
      <c r="F86" s="17"/>
      <c r="G86" s="17"/>
      <c r="H86" s="17"/>
    </row>
    <row r="87" spans="1:8" ht="15.75" customHeight="1" x14ac:dyDescent="0.25">
      <c r="A87" s="17"/>
      <c r="B87" s="17"/>
      <c r="C87" s="17"/>
      <c r="D87" s="17"/>
      <c r="E87" s="17"/>
      <c r="F87" s="17"/>
      <c r="G87" s="17"/>
      <c r="H87" s="17"/>
    </row>
    <row r="88" spans="1:8" ht="15.75" customHeight="1" x14ac:dyDescent="0.25">
      <c r="A88" s="17"/>
      <c r="B88" s="17"/>
      <c r="C88" s="17"/>
      <c r="D88" s="17"/>
      <c r="E88" s="17"/>
      <c r="F88" s="17"/>
      <c r="G88" s="17"/>
      <c r="H88" s="17"/>
    </row>
    <row r="89" spans="1:8" ht="15.75" customHeight="1" x14ac:dyDescent="0.25">
      <c r="A89" s="17"/>
      <c r="B89" s="17"/>
      <c r="C89" s="17"/>
      <c r="D89" s="17"/>
      <c r="E89" s="17"/>
      <c r="F89" s="17"/>
      <c r="G89" s="17"/>
      <c r="H89" s="17"/>
    </row>
    <row r="90" spans="1:8" ht="15.75" customHeight="1" x14ac:dyDescent="0.25">
      <c r="A90" s="17"/>
      <c r="B90" s="17"/>
      <c r="C90" s="17"/>
      <c r="D90" s="17"/>
      <c r="E90" s="17"/>
      <c r="F90" s="17"/>
      <c r="G90" s="17"/>
      <c r="H90" s="17"/>
    </row>
    <row r="91" spans="1:8" ht="15.75" customHeight="1" x14ac:dyDescent="0.25">
      <c r="A91" s="17"/>
      <c r="B91" s="17"/>
      <c r="C91" s="17"/>
      <c r="D91" s="17"/>
      <c r="E91" s="17"/>
      <c r="F91" s="17"/>
      <c r="G91" s="17"/>
      <c r="H91" s="17"/>
    </row>
    <row r="92" spans="1:8" ht="15.75" customHeight="1" x14ac:dyDescent="0.25">
      <c r="A92" s="17"/>
      <c r="B92" s="17"/>
      <c r="C92" s="17"/>
      <c r="D92" s="17"/>
      <c r="E92" s="17"/>
      <c r="F92" s="17"/>
      <c r="G92" s="17"/>
      <c r="H92" s="17"/>
    </row>
    <row r="93" spans="1:8" ht="15.75" customHeight="1" x14ac:dyDescent="0.25">
      <c r="A93" s="17"/>
      <c r="B93" s="17"/>
      <c r="C93" s="17"/>
      <c r="D93" s="17"/>
      <c r="E93" s="17"/>
      <c r="F93" s="17"/>
      <c r="G93" s="17"/>
      <c r="H93" s="17"/>
    </row>
    <row r="94" spans="1:8" ht="15.75" customHeight="1" x14ac:dyDescent="0.25">
      <c r="A94" s="17"/>
      <c r="B94" s="17"/>
      <c r="C94" s="17"/>
      <c r="D94" s="17"/>
      <c r="E94" s="17"/>
      <c r="F94" s="17"/>
      <c r="G94" s="17"/>
      <c r="H94" s="17"/>
    </row>
    <row r="95" spans="1:8" ht="15.75" customHeight="1" x14ac:dyDescent="0.25">
      <c r="A95" s="17"/>
      <c r="B95" s="17"/>
      <c r="C95" s="17"/>
      <c r="D95" s="17"/>
      <c r="E95" s="17"/>
      <c r="F95" s="17"/>
      <c r="G95" s="17"/>
      <c r="H95" s="17"/>
    </row>
    <row r="96" spans="1:8" ht="15.75" customHeight="1" x14ac:dyDescent="0.25">
      <c r="A96" s="17"/>
      <c r="B96" s="17"/>
      <c r="C96" s="17"/>
      <c r="D96" s="17"/>
      <c r="E96" s="17"/>
      <c r="F96" s="17"/>
      <c r="G96" s="17"/>
      <c r="H96" s="17"/>
    </row>
    <row r="97" spans="1:8" ht="15.75" customHeight="1" x14ac:dyDescent="0.25">
      <c r="A97" s="17"/>
      <c r="B97" s="17"/>
      <c r="C97" s="17"/>
      <c r="D97" s="17"/>
      <c r="E97" s="17"/>
      <c r="F97" s="17"/>
      <c r="G97" s="17"/>
      <c r="H97" s="17"/>
    </row>
    <row r="98" spans="1:8" ht="15.75" customHeight="1" x14ac:dyDescent="0.25">
      <c r="A98" s="17"/>
      <c r="B98" s="17"/>
      <c r="C98" s="17"/>
      <c r="D98" s="17"/>
      <c r="E98" s="17"/>
      <c r="F98" s="17"/>
      <c r="G98" s="17"/>
      <c r="H98" s="17"/>
    </row>
    <row r="99" spans="1:8" ht="15.75" customHeight="1" x14ac:dyDescent="0.25">
      <c r="A99" s="17"/>
      <c r="B99" s="17"/>
      <c r="C99" s="17"/>
      <c r="D99" s="17"/>
      <c r="E99" s="17"/>
      <c r="F99" s="17"/>
      <c r="G99" s="17"/>
      <c r="H99" s="17"/>
    </row>
    <row r="100" spans="1:8" ht="15.75" customHeight="1" x14ac:dyDescent="0.25">
      <c r="A100" s="17"/>
      <c r="B100" s="17"/>
      <c r="C100" s="17"/>
      <c r="D100" s="17"/>
      <c r="E100" s="17"/>
      <c r="F100" s="17"/>
      <c r="G100" s="17"/>
      <c r="H100" s="17"/>
    </row>
  </sheetData>
  <mergeCells count="19">
    <mergeCell ref="A1:H1"/>
    <mergeCell ref="A2:B2"/>
    <mergeCell ref="C2:D2"/>
    <mergeCell ref="E2:F2"/>
    <mergeCell ref="G2:H2"/>
    <mergeCell ref="A5:H5"/>
    <mergeCell ref="A32:D32"/>
    <mergeCell ref="A33:D33"/>
    <mergeCell ref="A34:D34"/>
    <mergeCell ref="C3:D3"/>
    <mergeCell ref="A17:D17"/>
    <mergeCell ref="A18:D18"/>
    <mergeCell ref="A19:D19"/>
    <mergeCell ref="A21:H21"/>
    <mergeCell ref="A29:D29"/>
    <mergeCell ref="A31:H31"/>
    <mergeCell ref="E3:F3"/>
    <mergeCell ref="G3:H3"/>
    <mergeCell ref="A3:B3"/>
  </mergeCells>
  <pageMargins left="0.75" right="0.75" top="1" bottom="1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2E86AB"/>
  </sheetPr>
  <dimension ref="A1:H100"/>
  <sheetViews>
    <sheetView workbookViewId="0">
      <selection sqref="A1:H1"/>
    </sheetView>
  </sheetViews>
  <sheetFormatPr defaultColWidth="14.42578125" defaultRowHeight="15" customHeight="1" x14ac:dyDescent="0.25"/>
  <cols>
    <col min="1" max="1" width="10" customWidth="1"/>
    <col min="2" max="2" width="26" customWidth="1"/>
    <col min="3" max="7" width="16" customWidth="1"/>
    <col min="8" max="8" width="20" customWidth="1"/>
  </cols>
  <sheetData>
    <row r="1" spans="1:8" ht="27.75" customHeight="1" x14ac:dyDescent="0.25">
      <c r="A1" s="163" t="s">
        <v>186</v>
      </c>
      <c r="B1" s="146"/>
      <c r="C1" s="146"/>
      <c r="D1" s="146"/>
      <c r="E1" s="146"/>
      <c r="F1" s="146"/>
      <c r="G1" s="146"/>
      <c r="H1" s="147"/>
    </row>
    <row r="2" spans="1:8" ht="18" customHeight="1" x14ac:dyDescent="0.25">
      <c r="A2" s="164" t="s">
        <v>34</v>
      </c>
      <c r="B2" s="147"/>
      <c r="C2" s="164" t="s">
        <v>35</v>
      </c>
      <c r="D2" s="147"/>
      <c r="E2" s="164" t="s">
        <v>36</v>
      </c>
      <c r="F2" s="147"/>
      <c r="G2" s="164" t="s">
        <v>37</v>
      </c>
      <c r="H2" s="147"/>
    </row>
    <row r="3" spans="1:8" ht="21.75" customHeight="1" x14ac:dyDescent="0.25">
      <c r="A3" s="162">
        <f>E29</f>
        <v>4275</v>
      </c>
      <c r="B3" s="147"/>
      <c r="C3" s="154">
        <f>E19</f>
        <v>3080</v>
      </c>
      <c r="D3" s="147"/>
      <c r="E3" s="160">
        <f>E29-E19</f>
        <v>1195</v>
      </c>
      <c r="F3" s="147"/>
      <c r="G3" s="161">
        <f>IF(E29&gt;0,(E29-E19)/E29,0)</f>
        <v>0.27953216374269008</v>
      </c>
      <c r="H3" s="147"/>
    </row>
    <row r="4" spans="1:8" ht="14.25" customHeight="1" x14ac:dyDescent="0.25">
      <c r="A4" s="17"/>
      <c r="B4" s="17"/>
      <c r="C4" s="17"/>
      <c r="D4" s="17"/>
      <c r="E4" s="17"/>
      <c r="F4" s="17"/>
      <c r="G4" s="17"/>
      <c r="H4" s="17"/>
    </row>
    <row r="5" spans="1:8" ht="19.5" customHeight="1" x14ac:dyDescent="0.25">
      <c r="A5" s="150" t="s">
        <v>187</v>
      </c>
      <c r="B5" s="146"/>
      <c r="C5" s="146"/>
      <c r="D5" s="146"/>
      <c r="E5" s="146"/>
      <c r="F5" s="146"/>
      <c r="G5" s="146"/>
      <c r="H5" s="147"/>
    </row>
    <row r="6" spans="1:8" ht="15" customHeight="1" x14ac:dyDescent="0.25">
      <c r="A6" s="36" t="s">
        <v>22</v>
      </c>
      <c r="B6" s="36" t="s">
        <v>39</v>
      </c>
      <c r="C6" s="36" t="s">
        <v>40</v>
      </c>
      <c r="D6" s="36" t="s">
        <v>41</v>
      </c>
      <c r="E6" s="36" t="s">
        <v>42</v>
      </c>
      <c r="F6" s="36" t="s">
        <v>43</v>
      </c>
      <c r="G6" s="36" t="s">
        <v>44</v>
      </c>
      <c r="H6" s="36"/>
    </row>
    <row r="7" spans="1:8" ht="15" customHeight="1" x14ac:dyDescent="0.25">
      <c r="A7" s="37" t="s">
        <v>188</v>
      </c>
      <c r="B7" s="38" t="s">
        <v>46</v>
      </c>
      <c r="C7" s="37" t="s">
        <v>167</v>
      </c>
      <c r="D7" s="37" t="s">
        <v>48</v>
      </c>
      <c r="E7" s="39">
        <v>86</v>
      </c>
      <c r="F7" s="37"/>
      <c r="G7" s="37"/>
      <c r="H7" s="37"/>
    </row>
    <row r="8" spans="1:8" ht="15" customHeight="1" x14ac:dyDescent="0.25">
      <c r="A8" s="40" t="s">
        <v>188</v>
      </c>
      <c r="B8" s="41" t="s">
        <v>49</v>
      </c>
      <c r="C8" s="40"/>
      <c r="D8" s="40" t="s">
        <v>50</v>
      </c>
      <c r="E8" s="42">
        <v>216</v>
      </c>
      <c r="F8" s="40"/>
      <c r="G8" s="40"/>
      <c r="H8" s="40"/>
    </row>
    <row r="9" spans="1:8" ht="15" customHeight="1" x14ac:dyDescent="0.25">
      <c r="A9" s="37" t="s">
        <v>188</v>
      </c>
      <c r="B9" s="38" t="s">
        <v>51</v>
      </c>
      <c r="C9" s="37"/>
      <c r="D9" s="37" t="s">
        <v>50</v>
      </c>
      <c r="E9" s="39">
        <v>230</v>
      </c>
      <c r="F9" s="37"/>
      <c r="G9" s="37"/>
      <c r="H9" s="37"/>
    </row>
    <row r="10" spans="1:8" ht="15" customHeight="1" x14ac:dyDescent="0.25">
      <c r="A10" s="40" t="s">
        <v>188</v>
      </c>
      <c r="B10" s="41" t="s">
        <v>52</v>
      </c>
      <c r="C10" s="40"/>
      <c r="D10" s="40" t="s">
        <v>50</v>
      </c>
      <c r="E10" s="42">
        <v>95</v>
      </c>
      <c r="F10" s="40"/>
      <c r="G10" s="40"/>
      <c r="H10" s="40"/>
    </row>
    <row r="11" spans="1:8" ht="15" customHeight="1" x14ac:dyDescent="0.25">
      <c r="A11" s="37" t="s">
        <v>188</v>
      </c>
      <c r="B11" s="38" t="s">
        <v>53</v>
      </c>
      <c r="C11" s="37"/>
      <c r="D11" s="37" t="s">
        <v>50</v>
      </c>
      <c r="E11" s="39">
        <v>120</v>
      </c>
      <c r="F11" s="37"/>
      <c r="G11" s="37"/>
      <c r="H11" s="37"/>
    </row>
    <row r="12" spans="1:8" ht="15" customHeight="1" x14ac:dyDescent="0.25">
      <c r="A12" s="40" t="s">
        <v>188</v>
      </c>
      <c r="B12" s="41" t="s">
        <v>54</v>
      </c>
      <c r="C12" s="40"/>
      <c r="D12" s="40" t="s">
        <v>50</v>
      </c>
      <c r="E12" s="42">
        <v>288</v>
      </c>
      <c r="F12" s="40"/>
      <c r="G12" s="40"/>
      <c r="H12" s="40"/>
    </row>
    <row r="13" spans="1:8" ht="15" customHeight="1" x14ac:dyDescent="0.25">
      <c r="A13" s="37" t="s">
        <v>188</v>
      </c>
      <c r="B13" s="38" t="s">
        <v>55</v>
      </c>
      <c r="C13" s="37"/>
      <c r="D13" s="37" t="s">
        <v>50</v>
      </c>
      <c r="E13" s="39">
        <v>135</v>
      </c>
      <c r="F13" s="37"/>
      <c r="G13" s="37"/>
      <c r="H13" s="37"/>
    </row>
    <row r="14" spans="1:8" ht="15" customHeight="1" x14ac:dyDescent="0.25">
      <c r="A14" s="40" t="s">
        <v>188</v>
      </c>
      <c r="B14" s="40" t="s">
        <v>126</v>
      </c>
      <c r="C14" s="31"/>
      <c r="D14" s="40" t="s">
        <v>50</v>
      </c>
      <c r="E14" s="107">
        <f>'💳 Empréstimo'!F22</f>
        <v>560</v>
      </c>
      <c r="F14" s="31"/>
      <c r="G14" s="40" t="s">
        <v>189</v>
      </c>
      <c r="H14" s="31"/>
    </row>
    <row r="15" spans="1:8" ht="15" customHeight="1" x14ac:dyDescent="0.25">
      <c r="A15" s="31"/>
      <c r="B15" s="31"/>
      <c r="C15" s="31"/>
      <c r="D15" s="31"/>
      <c r="E15" s="29"/>
      <c r="F15" s="31"/>
      <c r="G15" s="31"/>
      <c r="H15" s="31"/>
    </row>
    <row r="16" spans="1:8" ht="15" customHeight="1" x14ac:dyDescent="0.25">
      <c r="A16" s="31"/>
      <c r="B16" s="31"/>
      <c r="C16" s="31"/>
      <c r="D16" s="31"/>
      <c r="E16" s="29"/>
      <c r="F16" s="31"/>
      <c r="G16" s="31"/>
      <c r="H16" s="31"/>
    </row>
    <row r="17" spans="1:8" ht="15" customHeight="1" x14ac:dyDescent="0.25">
      <c r="A17" s="155" t="s">
        <v>56</v>
      </c>
      <c r="B17" s="152"/>
      <c r="C17" s="152"/>
      <c r="D17" s="153"/>
      <c r="E17" s="43">
        <f>SUM(E7:E16)</f>
        <v>1730</v>
      </c>
      <c r="F17" s="44"/>
      <c r="G17" s="44"/>
      <c r="H17" s="44"/>
    </row>
    <row r="18" spans="1:8" ht="15" customHeight="1" x14ac:dyDescent="0.25">
      <c r="A18" s="156" t="s">
        <v>57</v>
      </c>
      <c r="B18" s="152"/>
      <c r="C18" s="152"/>
      <c r="D18" s="153"/>
      <c r="E18" s="45">
        <v>1350</v>
      </c>
      <c r="F18" s="44"/>
      <c r="G18" s="44"/>
      <c r="H18" s="44"/>
    </row>
    <row r="19" spans="1:8" ht="15" customHeight="1" x14ac:dyDescent="0.25">
      <c r="A19" s="157" t="s">
        <v>58</v>
      </c>
      <c r="B19" s="152"/>
      <c r="C19" s="152"/>
      <c r="D19" s="153"/>
      <c r="E19" s="46">
        <f>E17+E18</f>
        <v>3080</v>
      </c>
      <c r="F19" s="47"/>
      <c r="G19" s="47"/>
      <c r="H19" s="47"/>
    </row>
    <row r="20" spans="1:8" ht="14.25" customHeight="1" x14ac:dyDescent="0.25">
      <c r="A20" s="17"/>
      <c r="B20" s="17"/>
      <c r="C20" s="17"/>
      <c r="D20" s="17"/>
      <c r="E20" s="17"/>
      <c r="F20" s="17"/>
      <c r="G20" s="17"/>
      <c r="H20" s="17"/>
    </row>
    <row r="21" spans="1:8" ht="19.5" customHeight="1" x14ac:dyDescent="0.25">
      <c r="A21" s="158" t="s">
        <v>190</v>
      </c>
      <c r="B21" s="146"/>
      <c r="C21" s="146"/>
      <c r="D21" s="146"/>
      <c r="E21" s="146"/>
      <c r="F21" s="146"/>
      <c r="G21" s="146"/>
      <c r="H21" s="147"/>
    </row>
    <row r="22" spans="1:8" ht="15" customHeight="1" x14ac:dyDescent="0.25">
      <c r="A22" s="48" t="s">
        <v>22</v>
      </c>
      <c r="B22" s="48" t="s">
        <v>39</v>
      </c>
      <c r="C22" s="48" t="s">
        <v>40</v>
      </c>
      <c r="D22" s="48" t="s">
        <v>41</v>
      </c>
      <c r="E22" s="48" t="s">
        <v>42</v>
      </c>
      <c r="F22" s="48" t="s">
        <v>60</v>
      </c>
      <c r="G22" s="48" t="s">
        <v>44</v>
      </c>
      <c r="H22" s="48"/>
    </row>
    <row r="23" spans="1:8" ht="15" customHeight="1" x14ac:dyDescent="0.25">
      <c r="A23" s="49" t="s">
        <v>188</v>
      </c>
      <c r="B23" s="50" t="s">
        <v>61</v>
      </c>
      <c r="C23" s="49" t="s">
        <v>62</v>
      </c>
      <c r="D23" s="49" t="s">
        <v>50</v>
      </c>
      <c r="E23" s="51">
        <v>1475</v>
      </c>
      <c r="F23" s="49"/>
      <c r="G23" s="49"/>
      <c r="H23" s="49"/>
    </row>
    <row r="24" spans="1:8" ht="15" customHeight="1" x14ac:dyDescent="0.25">
      <c r="A24" s="52" t="s">
        <v>188</v>
      </c>
      <c r="B24" s="53" t="s">
        <v>63</v>
      </c>
      <c r="C24" s="52" t="s">
        <v>62</v>
      </c>
      <c r="D24" s="52" t="s">
        <v>50</v>
      </c>
      <c r="E24" s="54">
        <v>1300</v>
      </c>
      <c r="F24" s="52"/>
      <c r="G24" s="52"/>
      <c r="H24" s="52"/>
    </row>
    <row r="25" spans="1:8" ht="15" customHeight="1" x14ac:dyDescent="0.25">
      <c r="A25" s="49" t="s">
        <v>188</v>
      </c>
      <c r="B25" s="50" t="s">
        <v>64</v>
      </c>
      <c r="C25" s="49" t="s">
        <v>62</v>
      </c>
      <c r="D25" s="49" t="s">
        <v>50</v>
      </c>
      <c r="E25" s="51">
        <v>1500</v>
      </c>
      <c r="F25" s="49"/>
      <c r="G25" s="49"/>
      <c r="H25" s="49"/>
    </row>
    <row r="26" spans="1:8" ht="15" customHeight="1" x14ac:dyDescent="0.25">
      <c r="A26" s="52"/>
      <c r="B26" s="53"/>
      <c r="C26" s="52"/>
      <c r="D26" s="52"/>
      <c r="E26" s="54"/>
      <c r="F26" s="52"/>
      <c r="G26" s="52"/>
      <c r="H26" s="52"/>
    </row>
    <row r="27" spans="1:8" ht="15" customHeight="1" x14ac:dyDescent="0.25">
      <c r="A27" s="55"/>
      <c r="B27" s="55"/>
      <c r="C27" s="55"/>
      <c r="D27" s="55"/>
      <c r="E27" s="56"/>
      <c r="F27" s="55"/>
      <c r="G27" s="55"/>
      <c r="H27" s="55"/>
    </row>
    <row r="28" spans="1:8" ht="15" customHeight="1" x14ac:dyDescent="0.25">
      <c r="A28" s="55"/>
      <c r="B28" s="55"/>
      <c r="C28" s="55"/>
      <c r="D28" s="55"/>
      <c r="E28" s="56"/>
      <c r="F28" s="55"/>
      <c r="G28" s="55"/>
      <c r="H28" s="55"/>
    </row>
    <row r="29" spans="1:8" ht="15" customHeight="1" x14ac:dyDescent="0.25">
      <c r="A29" s="157" t="s">
        <v>66</v>
      </c>
      <c r="B29" s="152"/>
      <c r="C29" s="152"/>
      <c r="D29" s="153"/>
      <c r="E29" s="46">
        <f>SUM(E23:E28)</f>
        <v>4275</v>
      </c>
      <c r="F29" s="47"/>
      <c r="G29" s="47"/>
      <c r="H29" s="47"/>
    </row>
    <row r="30" spans="1:8" ht="15.75" customHeight="1" x14ac:dyDescent="0.25">
      <c r="A30" s="17"/>
      <c r="B30" s="17"/>
      <c r="C30" s="17"/>
      <c r="D30" s="17"/>
      <c r="E30" s="17"/>
      <c r="F30" s="17"/>
      <c r="G30" s="17"/>
      <c r="H30" s="17"/>
    </row>
    <row r="31" spans="1:8" ht="19.5" customHeight="1" x14ac:dyDescent="0.25">
      <c r="A31" s="159" t="s">
        <v>67</v>
      </c>
      <c r="B31" s="146"/>
      <c r="C31" s="146"/>
      <c r="D31" s="146"/>
      <c r="E31" s="146"/>
      <c r="F31" s="146"/>
      <c r="G31" s="146"/>
      <c r="H31" s="147"/>
    </row>
    <row r="32" spans="1:8" ht="15" customHeight="1" x14ac:dyDescent="0.25">
      <c r="A32" s="151" t="s">
        <v>68</v>
      </c>
      <c r="B32" s="152"/>
      <c r="C32" s="152"/>
      <c r="D32" s="153"/>
      <c r="E32" s="57">
        <f>E29-E19</f>
        <v>1195</v>
      </c>
      <c r="F32" s="58"/>
      <c r="G32" s="58"/>
      <c r="H32" s="58"/>
    </row>
    <row r="33" spans="1:8" ht="15" customHeight="1" x14ac:dyDescent="0.25">
      <c r="A33" s="151" t="s">
        <v>76</v>
      </c>
      <c r="B33" s="152"/>
      <c r="C33" s="152"/>
      <c r="D33" s="153"/>
      <c r="E33" s="57">
        <f>0.7*(E29-E19)</f>
        <v>836.5</v>
      </c>
      <c r="F33" s="58"/>
      <c r="G33" s="58"/>
      <c r="H33" s="58"/>
    </row>
    <row r="34" spans="1:8" ht="15" customHeight="1" x14ac:dyDescent="0.25">
      <c r="A34" s="151" t="s">
        <v>70</v>
      </c>
      <c r="B34" s="152"/>
      <c r="C34" s="152"/>
      <c r="D34" s="153"/>
      <c r="E34" s="57">
        <f>E19/6</f>
        <v>513.33333333333337</v>
      </c>
      <c r="F34" s="58"/>
      <c r="G34" s="58"/>
      <c r="H34" s="58"/>
    </row>
    <row r="35" spans="1:8" ht="15.75" customHeight="1" x14ac:dyDescent="0.25">
      <c r="A35" s="17"/>
      <c r="B35" s="17"/>
      <c r="C35" s="17"/>
      <c r="D35" s="17"/>
      <c r="E35" s="17"/>
      <c r="F35" s="17"/>
      <c r="G35" s="17"/>
      <c r="H35" s="17"/>
    </row>
    <row r="36" spans="1:8" ht="15.75" customHeight="1" x14ac:dyDescent="0.25">
      <c r="A36" s="17"/>
      <c r="B36" s="17"/>
      <c r="C36" s="17"/>
      <c r="D36" s="17"/>
      <c r="E36" s="17"/>
      <c r="F36" s="17"/>
      <c r="G36" s="17"/>
      <c r="H36" s="17"/>
    </row>
    <row r="37" spans="1:8" ht="15.75" customHeight="1" x14ac:dyDescent="0.25">
      <c r="A37" s="17"/>
      <c r="B37" s="17"/>
      <c r="C37" s="17"/>
      <c r="D37" s="17"/>
      <c r="E37" s="17"/>
      <c r="F37" s="17"/>
      <c r="G37" s="17"/>
      <c r="H37" s="17"/>
    </row>
    <row r="38" spans="1:8" ht="15.75" customHeight="1" x14ac:dyDescent="0.25">
      <c r="A38" s="17"/>
      <c r="B38" s="17"/>
      <c r="C38" s="17"/>
      <c r="D38" s="17"/>
      <c r="E38" s="17"/>
      <c r="F38" s="17"/>
      <c r="G38" s="17"/>
      <c r="H38" s="17"/>
    </row>
    <row r="39" spans="1:8" ht="15.75" customHeight="1" x14ac:dyDescent="0.25">
      <c r="A39" s="17"/>
      <c r="B39" s="17"/>
      <c r="C39" s="17"/>
      <c r="D39" s="17"/>
      <c r="E39" s="17"/>
      <c r="F39" s="17"/>
      <c r="G39" s="17"/>
      <c r="H39" s="17"/>
    </row>
    <row r="40" spans="1:8" ht="15.75" customHeight="1" x14ac:dyDescent="0.25">
      <c r="A40" s="17"/>
      <c r="B40" s="17"/>
      <c r="C40" s="17"/>
      <c r="D40" s="17"/>
      <c r="E40" s="17"/>
      <c r="F40" s="17"/>
      <c r="G40" s="17"/>
      <c r="H40" s="17"/>
    </row>
    <row r="41" spans="1:8" ht="15.75" customHeight="1" x14ac:dyDescent="0.25">
      <c r="A41" s="17"/>
      <c r="B41" s="17"/>
      <c r="C41" s="17"/>
      <c r="D41" s="17"/>
      <c r="E41" s="17"/>
      <c r="F41" s="17"/>
      <c r="G41" s="17"/>
      <c r="H41" s="17"/>
    </row>
    <row r="42" spans="1:8" ht="15.75" customHeight="1" x14ac:dyDescent="0.25">
      <c r="A42" s="17"/>
      <c r="B42" s="17"/>
      <c r="C42" s="17"/>
      <c r="D42" s="17"/>
      <c r="E42" s="17"/>
      <c r="F42" s="17"/>
      <c r="G42" s="17"/>
      <c r="H42" s="17"/>
    </row>
    <row r="43" spans="1:8" ht="15.75" customHeight="1" x14ac:dyDescent="0.25">
      <c r="A43" s="17"/>
      <c r="B43" s="17"/>
      <c r="C43" s="17"/>
      <c r="D43" s="17"/>
      <c r="E43" s="17"/>
      <c r="F43" s="17"/>
      <c r="G43" s="17"/>
      <c r="H43" s="17"/>
    </row>
    <row r="44" spans="1:8" ht="15.75" customHeight="1" x14ac:dyDescent="0.25">
      <c r="A44" s="17"/>
      <c r="B44" s="17"/>
      <c r="C44" s="17"/>
      <c r="D44" s="17"/>
      <c r="E44" s="17"/>
      <c r="F44" s="17"/>
      <c r="G44" s="17"/>
      <c r="H44" s="17"/>
    </row>
    <row r="45" spans="1:8" ht="15.75" customHeight="1" x14ac:dyDescent="0.25">
      <c r="A45" s="17"/>
      <c r="B45" s="17"/>
      <c r="C45" s="17"/>
      <c r="D45" s="17"/>
      <c r="E45" s="17"/>
      <c r="F45" s="17"/>
      <c r="G45" s="17"/>
      <c r="H45" s="17"/>
    </row>
    <row r="46" spans="1:8" ht="15.75" customHeight="1" x14ac:dyDescent="0.25">
      <c r="A46" s="17"/>
      <c r="B46" s="17"/>
      <c r="C46" s="17"/>
      <c r="D46" s="17"/>
      <c r="E46" s="17"/>
      <c r="F46" s="17"/>
      <c r="G46" s="17"/>
      <c r="H46" s="17"/>
    </row>
    <row r="47" spans="1:8" ht="15.75" customHeight="1" x14ac:dyDescent="0.25">
      <c r="A47" s="17"/>
      <c r="B47" s="17"/>
      <c r="C47" s="17"/>
      <c r="D47" s="17"/>
      <c r="E47" s="17"/>
      <c r="F47" s="17"/>
      <c r="G47" s="17"/>
      <c r="H47" s="17"/>
    </row>
    <row r="48" spans="1:8" ht="15.75" customHeight="1" x14ac:dyDescent="0.25">
      <c r="A48" s="17"/>
      <c r="B48" s="17"/>
      <c r="C48" s="17"/>
      <c r="D48" s="17"/>
      <c r="E48" s="17"/>
      <c r="F48" s="17"/>
      <c r="G48" s="17"/>
      <c r="H48" s="17"/>
    </row>
    <row r="49" spans="1:8" ht="15.75" customHeight="1" x14ac:dyDescent="0.25">
      <c r="A49" s="17"/>
      <c r="B49" s="17"/>
      <c r="C49" s="17"/>
      <c r="D49" s="17"/>
      <c r="E49" s="17"/>
      <c r="F49" s="17"/>
      <c r="G49" s="17"/>
      <c r="H49" s="17"/>
    </row>
    <row r="50" spans="1:8" ht="15.75" customHeight="1" x14ac:dyDescent="0.25">
      <c r="A50" s="17"/>
      <c r="B50" s="17"/>
      <c r="C50" s="17"/>
      <c r="D50" s="17"/>
      <c r="E50" s="17"/>
      <c r="F50" s="17"/>
      <c r="G50" s="17"/>
      <c r="H50" s="17"/>
    </row>
    <row r="51" spans="1:8" ht="15.75" customHeight="1" x14ac:dyDescent="0.25">
      <c r="A51" s="17"/>
      <c r="B51" s="17"/>
      <c r="C51" s="17"/>
      <c r="D51" s="17"/>
      <c r="E51" s="17"/>
      <c r="F51" s="17"/>
      <c r="G51" s="17"/>
      <c r="H51" s="17"/>
    </row>
    <row r="52" spans="1:8" ht="15.75" customHeight="1" x14ac:dyDescent="0.25">
      <c r="A52" s="17"/>
      <c r="B52" s="17"/>
      <c r="C52" s="17"/>
      <c r="D52" s="17"/>
      <c r="E52" s="17"/>
      <c r="F52" s="17"/>
      <c r="G52" s="17"/>
      <c r="H52" s="17"/>
    </row>
    <row r="53" spans="1:8" ht="15.75" customHeight="1" x14ac:dyDescent="0.25">
      <c r="A53" s="17"/>
      <c r="B53" s="17"/>
      <c r="C53" s="17"/>
      <c r="D53" s="17"/>
      <c r="E53" s="17"/>
      <c r="F53" s="17"/>
      <c r="G53" s="17"/>
      <c r="H53" s="17"/>
    </row>
    <row r="54" spans="1:8" ht="15.75" customHeight="1" x14ac:dyDescent="0.25">
      <c r="A54" s="17"/>
      <c r="B54" s="17"/>
      <c r="C54" s="17"/>
      <c r="D54" s="17"/>
      <c r="E54" s="17"/>
      <c r="F54" s="17"/>
      <c r="G54" s="17"/>
      <c r="H54" s="17"/>
    </row>
    <row r="55" spans="1:8" ht="15.75" customHeight="1" x14ac:dyDescent="0.25">
      <c r="A55" s="17"/>
      <c r="B55" s="17"/>
      <c r="C55" s="17"/>
      <c r="D55" s="17"/>
      <c r="E55" s="17"/>
      <c r="F55" s="17"/>
      <c r="G55" s="17"/>
      <c r="H55" s="17"/>
    </row>
    <row r="56" spans="1:8" ht="15.75" customHeight="1" x14ac:dyDescent="0.25">
      <c r="A56" s="17"/>
      <c r="B56" s="17"/>
      <c r="C56" s="17"/>
      <c r="D56" s="17"/>
      <c r="E56" s="17"/>
      <c r="F56" s="17"/>
      <c r="G56" s="17"/>
      <c r="H56" s="17"/>
    </row>
    <row r="57" spans="1:8" ht="15.75" customHeight="1" x14ac:dyDescent="0.25">
      <c r="A57" s="17"/>
      <c r="B57" s="17"/>
      <c r="C57" s="17"/>
      <c r="D57" s="17"/>
      <c r="E57" s="17"/>
      <c r="F57" s="17"/>
      <c r="G57" s="17"/>
      <c r="H57" s="17"/>
    </row>
    <row r="58" spans="1:8" ht="15.75" customHeight="1" x14ac:dyDescent="0.25">
      <c r="A58" s="17"/>
      <c r="B58" s="17"/>
      <c r="C58" s="17"/>
      <c r="D58" s="17"/>
      <c r="E58" s="17"/>
      <c r="F58" s="17"/>
      <c r="G58" s="17"/>
      <c r="H58" s="17"/>
    </row>
    <row r="59" spans="1:8" ht="15.75" customHeight="1" x14ac:dyDescent="0.25">
      <c r="A59" s="17"/>
      <c r="B59" s="17"/>
      <c r="C59" s="17"/>
      <c r="D59" s="17"/>
      <c r="E59" s="17"/>
      <c r="F59" s="17"/>
      <c r="G59" s="17"/>
      <c r="H59" s="17"/>
    </row>
    <row r="60" spans="1:8" ht="15.75" customHeight="1" x14ac:dyDescent="0.25">
      <c r="A60" s="17"/>
      <c r="B60" s="17"/>
      <c r="C60" s="17"/>
      <c r="D60" s="17"/>
      <c r="E60" s="17"/>
      <c r="F60" s="17"/>
      <c r="G60" s="17"/>
      <c r="H60" s="17"/>
    </row>
    <row r="61" spans="1:8" ht="15.75" customHeight="1" x14ac:dyDescent="0.25">
      <c r="A61" s="17"/>
      <c r="B61" s="17"/>
      <c r="C61" s="17"/>
      <c r="D61" s="17"/>
      <c r="E61" s="17"/>
      <c r="F61" s="17"/>
      <c r="G61" s="17"/>
      <c r="H61" s="17"/>
    </row>
    <row r="62" spans="1:8" ht="15.75" customHeight="1" x14ac:dyDescent="0.25">
      <c r="A62" s="17"/>
      <c r="B62" s="17"/>
      <c r="C62" s="17"/>
      <c r="D62" s="17"/>
      <c r="E62" s="17"/>
      <c r="F62" s="17"/>
      <c r="G62" s="17"/>
      <c r="H62" s="17"/>
    </row>
    <row r="63" spans="1:8" ht="15.75" customHeight="1" x14ac:dyDescent="0.25">
      <c r="A63" s="17"/>
      <c r="B63" s="17"/>
      <c r="C63" s="17"/>
      <c r="D63" s="17"/>
      <c r="E63" s="17"/>
      <c r="F63" s="17"/>
      <c r="G63" s="17"/>
      <c r="H63" s="17"/>
    </row>
    <row r="64" spans="1:8" ht="15.75" customHeight="1" x14ac:dyDescent="0.25">
      <c r="A64" s="17"/>
      <c r="B64" s="17"/>
      <c r="C64" s="17"/>
      <c r="D64" s="17"/>
      <c r="E64" s="17"/>
      <c r="F64" s="17"/>
      <c r="G64" s="17"/>
      <c r="H64" s="17"/>
    </row>
    <row r="65" spans="1:8" ht="15.75" customHeight="1" x14ac:dyDescent="0.25">
      <c r="A65" s="17"/>
      <c r="B65" s="17"/>
      <c r="C65" s="17"/>
      <c r="D65" s="17"/>
      <c r="E65" s="17"/>
      <c r="F65" s="17"/>
      <c r="G65" s="17"/>
      <c r="H65" s="17"/>
    </row>
    <row r="66" spans="1:8" ht="15.75" customHeight="1" x14ac:dyDescent="0.25">
      <c r="A66" s="17"/>
      <c r="B66" s="17"/>
      <c r="C66" s="17"/>
      <c r="D66" s="17"/>
      <c r="E66" s="17"/>
      <c r="F66" s="17"/>
      <c r="G66" s="17"/>
      <c r="H66" s="17"/>
    </row>
    <row r="67" spans="1:8" ht="15.75" customHeight="1" x14ac:dyDescent="0.25">
      <c r="A67" s="17"/>
      <c r="B67" s="17"/>
      <c r="C67" s="17"/>
      <c r="D67" s="17"/>
      <c r="E67" s="17"/>
      <c r="F67" s="17"/>
      <c r="G67" s="17"/>
      <c r="H67" s="17"/>
    </row>
    <row r="68" spans="1:8" ht="15.75" customHeight="1" x14ac:dyDescent="0.25">
      <c r="A68" s="17"/>
      <c r="B68" s="17"/>
      <c r="C68" s="17"/>
      <c r="D68" s="17"/>
      <c r="E68" s="17"/>
      <c r="F68" s="17"/>
      <c r="G68" s="17"/>
      <c r="H68" s="17"/>
    </row>
    <row r="69" spans="1:8" ht="15.75" customHeight="1" x14ac:dyDescent="0.25">
      <c r="A69" s="17"/>
      <c r="B69" s="17"/>
      <c r="C69" s="17"/>
      <c r="D69" s="17"/>
      <c r="E69" s="17"/>
      <c r="F69" s="17"/>
      <c r="G69" s="17"/>
      <c r="H69" s="17"/>
    </row>
    <row r="70" spans="1:8" ht="15.75" customHeight="1" x14ac:dyDescent="0.25">
      <c r="A70" s="17"/>
      <c r="B70" s="17"/>
      <c r="C70" s="17"/>
      <c r="D70" s="17"/>
      <c r="E70" s="17"/>
      <c r="F70" s="17"/>
      <c r="G70" s="17"/>
      <c r="H70" s="17"/>
    </row>
    <row r="71" spans="1:8" ht="15.75" customHeight="1" x14ac:dyDescent="0.25">
      <c r="A71" s="17"/>
      <c r="B71" s="17"/>
      <c r="C71" s="17"/>
      <c r="D71" s="17"/>
      <c r="E71" s="17"/>
      <c r="F71" s="17"/>
      <c r="G71" s="17"/>
      <c r="H71" s="17"/>
    </row>
    <row r="72" spans="1:8" ht="15.75" customHeight="1" x14ac:dyDescent="0.25">
      <c r="A72" s="17"/>
      <c r="B72" s="17"/>
      <c r="C72" s="17"/>
      <c r="D72" s="17"/>
      <c r="E72" s="17"/>
      <c r="F72" s="17"/>
      <c r="G72" s="17"/>
      <c r="H72" s="17"/>
    </row>
    <row r="73" spans="1:8" ht="15.75" customHeight="1" x14ac:dyDescent="0.25">
      <c r="A73" s="17"/>
      <c r="B73" s="17"/>
      <c r="C73" s="17"/>
      <c r="D73" s="17"/>
      <c r="E73" s="17"/>
      <c r="F73" s="17"/>
      <c r="G73" s="17"/>
      <c r="H73" s="17"/>
    </row>
    <row r="74" spans="1:8" ht="15.75" customHeight="1" x14ac:dyDescent="0.25">
      <c r="A74" s="17"/>
      <c r="B74" s="17"/>
      <c r="C74" s="17"/>
      <c r="D74" s="17"/>
      <c r="E74" s="17"/>
      <c r="F74" s="17"/>
      <c r="G74" s="17"/>
      <c r="H74" s="17"/>
    </row>
    <row r="75" spans="1:8" ht="15.75" customHeight="1" x14ac:dyDescent="0.25">
      <c r="A75" s="17"/>
      <c r="B75" s="17"/>
      <c r="C75" s="17"/>
      <c r="D75" s="17"/>
      <c r="E75" s="17"/>
      <c r="F75" s="17"/>
      <c r="G75" s="17"/>
      <c r="H75" s="17"/>
    </row>
    <row r="76" spans="1:8" ht="15.75" customHeight="1" x14ac:dyDescent="0.25">
      <c r="A76" s="17"/>
      <c r="B76" s="17"/>
      <c r="C76" s="17"/>
      <c r="D76" s="17"/>
      <c r="E76" s="17"/>
      <c r="F76" s="17"/>
      <c r="G76" s="17"/>
      <c r="H76" s="17"/>
    </row>
    <row r="77" spans="1:8" ht="15.75" customHeight="1" x14ac:dyDescent="0.25">
      <c r="A77" s="17"/>
      <c r="B77" s="17"/>
      <c r="C77" s="17"/>
      <c r="D77" s="17"/>
      <c r="E77" s="17"/>
      <c r="F77" s="17"/>
      <c r="G77" s="17"/>
      <c r="H77" s="17"/>
    </row>
    <row r="78" spans="1:8" ht="15.75" customHeight="1" x14ac:dyDescent="0.25">
      <c r="A78" s="17"/>
      <c r="B78" s="17"/>
      <c r="C78" s="17"/>
      <c r="D78" s="17"/>
      <c r="E78" s="17"/>
      <c r="F78" s="17"/>
      <c r="G78" s="17"/>
      <c r="H78" s="17"/>
    </row>
    <row r="79" spans="1:8" ht="15.75" customHeight="1" x14ac:dyDescent="0.25">
      <c r="A79" s="17"/>
      <c r="B79" s="17"/>
      <c r="C79" s="17"/>
      <c r="D79" s="17"/>
      <c r="E79" s="17"/>
      <c r="F79" s="17"/>
      <c r="G79" s="17"/>
      <c r="H79" s="17"/>
    </row>
    <row r="80" spans="1:8" ht="15.75" customHeight="1" x14ac:dyDescent="0.25">
      <c r="A80" s="17"/>
      <c r="B80" s="17"/>
      <c r="C80" s="17"/>
      <c r="D80" s="17"/>
      <c r="E80" s="17"/>
      <c r="F80" s="17"/>
      <c r="G80" s="17"/>
      <c r="H80" s="17"/>
    </row>
    <row r="81" spans="1:8" ht="15.75" customHeight="1" x14ac:dyDescent="0.25">
      <c r="A81" s="17"/>
      <c r="B81" s="17"/>
      <c r="C81" s="17"/>
      <c r="D81" s="17"/>
      <c r="E81" s="17"/>
      <c r="F81" s="17"/>
      <c r="G81" s="17"/>
      <c r="H81" s="17"/>
    </row>
    <row r="82" spans="1:8" ht="15.75" customHeight="1" x14ac:dyDescent="0.25">
      <c r="A82" s="17"/>
      <c r="B82" s="17"/>
      <c r="C82" s="17"/>
      <c r="D82" s="17"/>
      <c r="E82" s="17"/>
      <c r="F82" s="17"/>
      <c r="G82" s="17"/>
      <c r="H82" s="17"/>
    </row>
    <row r="83" spans="1:8" ht="15.75" customHeight="1" x14ac:dyDescent="0.25">
      <c r="A83" s="17"/>
      <c r="B83" s="17"/>
      <c r="C83" s="17"/>
      <c r="D83" s="17"/>
      <c r="E83" s="17"/>
      <c r="F83" s="17"/>
      <c r="G83" s="17"/>
      <c r="H83" s="17"/>
    </row>
    <row r="84" spans="1:8" ht="15.75" customHeight="1" x14ac:dyDescent="0.25">
      <c r="A84" s="17"/>
      <c r="B84" s="17"/>
      <c r="C84" s="17"/>
      <c r="D84" s="17"/>
      <c r="E84" s="17"/>
      <c r="F84" s="17"/>
      <c r="G84" s="17"/>
      <c r="H84" s="17"/>
    </row>
    <row r="85" spans="1:8" ht="15.75" customHeight="1" x14ac:dyDescent="0.25">
      <c r="A85" s="17"/>
      <c r="B85" s="17"/>
      <c r="C85" s="17"/>
      <c r="D85" s="17"/>
      <c r="E85" s="17"/>
      <c r="F85" s="17"/>
      <c r="G85" s="17"/>
      <c r="H85" s="17"/>
    </row>
    <row r="86" spans="1:8" ht="15.75" customHeight="1" x14ac:dyDescent="0.25">
      <c r="A86" s="17"/>
      <c r="B86" s="17"/>
      <c r="C86" s="17"/>
      <c r="D86" s="17"/>
      <c r="E86" s="17"/>
      <c r="F86" s="17"/>
      <c r="G86" s="17"/>
      <c r="H86" s="17"/>
    </row>
    <row r="87" spans="1:8" ht="15.75" customHeight="1" x14ac:dyDescent="0.25">
      <c r="A87" s="17"/>
      <c r="B87" s="17"/>
      <c r="C87" s="17"/>
      <c r="D87" s="17"/>
      <c r="E87" s="17"/>
      <c r="F87" s="17"/>
      <c r="G87" s="17"/>
      <c r="H87" s="17"/>
    </row>
    <row r="88" spans="1:8" ht="15.75" customHeight="1" x14ac:dyDescent="0.25">
      <c r="A88" s="17"/>
      <c r="B88" s="17"/>
      <c r="C88" s="17"/>
      <c r="D88" s="17"/>
      <c r="E88" s="17"/>
      <c r="F88" s="17"/>
      <c r="G88" s="17"/>
      <c r="H88" s="17"/>
    </row>
    <row r="89" spans="1:8" ht="15.75" customHeight="1" x14ac:dyDescent="0.25">
      <c r="A89" s="17"/>
      <c r="B89" s="17"/>
      <c r="C89" s="17"/>
      <c r="D89" s="17"/>
      <c r="E89" s="17"/>
      <c r="F89" s="17"/>
      <c r="G89" s="17"/>
      <c r="H89" s="17"/>
    </row>
    <row r="90" spans="1:8" ht="15.75" customHeight="1" x14ac:dyDescent="0.25">
      <c r="A90" s="17"/>
      <c r="B90" s="17"/>
      <c r="C90" s="17"/>
      <c r="D90" s="17"/>
      <c r="E90" s="17"/>
      <c r="F90" s="17"/>
      <c r="G90" s="17"/>
      <c r="H90" s="17"/>
    </row>
    <row r="91" spans="1:8" ht="15.75" customHeight="1" x14ac:dyDescent="0.25">
      <c r="A91" s="17"/>
      <c r="B91" s="17"/>
      <c r="C91" s="17"/>
      <c r="D91" s="17"/>
      <c r="E91" s="17"/>
      <c r="F91" s="17"/>
      <c r="G91" s="17"/>
      <c r="H91" s="17"/>
    </row>
    <row r="92" spans="1:8" ht="15.75" customHeight="1" x14ac:dyDescent="0.25">
      <c r="A92" s="17"/>
      <c r="B92" s="17"/>
      <c r="C92" s="17"/>
      <c r="D92" s="17"/>
      <c r="E92" s="17"/>
      <c r="F92" s="17"/>
      <c r="G92" s="17"/>
      <c r="H92" s="17"/>
    </row>
    <row r="93" spans="1:8" ht="15.75" customHeight="1" x14ac:dyDescent="0.25">
      <c r="A93" s="17"/>
      <c r="B93" s="17"/>
      <c r="C93" s="17"/>
      <c r="D93" s="17"/>
      <c r="E93" s="17"/>
      <c r="F93" s="17"/>
      <c r="G93" s="17"/>
      <c r="H93" s="17"/>
    </row>
    <row r="94" spans="1:8" ht="15.75" customHeight="1" x14ac:dyDescent="0.25">
      <c r="A94" s="17"/>
      <c r="B94" s="17"/>
      <c r="C94" s="17"/>
      <c r="D94" s="17"/>
      <c r="E94" s="17"/>
      <c r="F94" s="17"/>
      <c r="G94" s="17"/>
      <c r="H94" s="17"/>
    </row>
    <row r="95" spans="1:8" ht="15.75" customHeight="1" x14ac:dyDescent="0.25">
      <c r="A95" s="17"/>
      <c r="B95" s="17"/>
      <c r="C95" s="17"/>
      <c r="D95" s="17"/>
      <c r="E95" s="17"/>
      <c r="F95" s="17"/>
      <c r="G95" s="17"/>
      <c r="H95" s="17"/>
    </row>
    <row r="96" spans="1:8" ht="15.75" customHeight="1" x14ac:dyDescent="0.25">
      <c r="A96" s="17"/>
      <c r="B96" s="17"/>
      <c r="C96" s="17"/>
      <c r="D96" s="17"/>
      <c r="E96" s="17"/>
      <c r="F96" s="17"/>
      <c r="G96" s="17"/>
      <c r="H96" s="17"/>
    </row>
    <row r="97" spans="1:8" ht="15.75" customHeight="1" x14ac:dyDescent="0.25">
      <c r="A97" s="17"/>
      <c r="B97" s="17"/>
      <c r="C97" s="17"/>
      <c r="D97" s="17"/>
      <c r="E97" s="17"/>
      <c r="F97" s="17"/>
      <c r="G97" s="17"/>
      <c r="H97" s="17"/>
    </row>
    <row r="98" spans="1:8" ht="15.75" customHeight="1" x14ac:dyDescent="0.25">
      <c r="A98" s="17"/>
      <c r="B98" s="17"/>
      <c r="C98" s="17"/>
      <c r="D98" s="17"/>
      <c r="E98" s="17"/>
      <c r="F98" s="17"/>
      <c r="G98" s="17"/>
      <c r="H98" s="17"/>
    </row>
    <row r="99" spans="1:8" ht="15.75" customHeight="1" x14ac:dyDescent="0.25">
      <c r="A99" s="17"/>
      <c r="B99" s="17"/>
      <c r="C99" s="17"/>
      <c r="D99" s="17"/>
      <c r="E99" s="17"/>
      <c r="F99" s="17"/>
      <c r="G99" s="17"/>
      <c r="H99" s="17"/>
    </row>
    <row r="100" spans="1:8" ht="15.75" customHeight="1" x14ac:dyDescent="0.25">
      <c r="A100" s="17"/>
      <c r="B100" s="17"/>
      <c r="C100" s="17"/>
      <c r="D100" s="17"/>
      <c r="E100" s="17"/>
      <c r="F100" s="17"/>
      <c r="G100" s="17"/>
      <c r="H100" s="17"/>
    </row>
  </sheetData>
  <mergeCells count="19">
    <mergeCell ref="A1:H1"/>
    <mergeCell ref="A2:B2"/>
    <mergeCell ref="C2:D2"/>
    <mergeCell ref="E2:F2"/>
    <mergeCell ref="G2:H2"/>
    <mergeCell ref="A5:H5"/>
    <mergeCell ref="A32:D32"/>
    <mergeCell ref="A33:D33"/>
    <mergeCell ref="A34:D34"/>
    <mergeCell ref="C3:D3"/>
    <mergeCell ref="A17:D17"/>
    <mergeCell ref="A18:D18"/>
    <mergeCell ref="A19:D19"/>
    <mergeCell ref="A21:H21"/>
    <mergeCell ref="A29:D29"/>
    <mergeCell ref="A31:H31"/>
    <mergeCell ref="E3:F3"/>
    <mergeCell ref="G3:H3"/>
    <mergeCell ref="A3:B3"/>
  </mergeCells>
  <pageMargins left="0.75" right="0.75" top="1" bottom="1" header="0" footer="0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2E86AB"/>
  </sheetPr>
  <dimension ref="A1:H100"/>
  <sheetViews>
    <sheetView workbookViewId="0">
      <selection sqref="A1:H1"/>
    </sheetView>
  </sheetViews>
  <sheetFormatPr defaultColWidth="14.42578125" defaultRowHeight="15" customHeight="1" x14ac:dyDescent="0.25"/>
  <cols>
    <col min="1" max="1" width="10" customWidth="1"/>
    <col min="2" max="2" width="26" customWidth="1"/>
    <col min="3" max="7" width="16" customWidth="1"/>
    <col min="8" max="8" width="20" customWidth="1"/>
  </cols>
  <sheetData>
    <row r="1" spans="1:8" ht="27.75" customHeight="1" x14ac:dyDescent="0.25">
      <c r="A1" s="163" t="s">
        <v>191</v>
      </c>
      <c r="B1" s="146"/>
      <c r="C1" s="146"/>
      <c r="D1" s="146"/>
      <c r="E1" s="146"/>
      <c r="F1" s="146"/>
      <c r="G1" s="146"/>
      <c r="H1" s="147"/>
    </row>
    <row r="2" spans="1:8" ht="18" customHeight="1" x14ac:dyDescent="0.25">
      <c r="A2" s="164" t="s">
        <v>34</v>
      </c>
      <c r="B2" s="147"/>
      <c r="C2" s="164" t="s">
        <v>35</v>
      </c>
      <c r="D2" s="147"/>
      <c r="E2" s="164" t="s">
        <v>36</v>
      </c>
      <c r="F2" s="147"/>
      <c r="G2" s="164" t="s">
        <v>37</v>
      </c>
      <c r="H2" s="147"/>
    </row>
    <row r="3" spans="1:8" ht="21.75" customHeight="1" x14ac:dyDescent="0.25">
      <c r="A3" s="162">
        <f>E29</f>
        <v>4275</v>
      </c>
      <c r="B3" s="147"/>
      <c r="C3" s="154">
        <f>E19</f>
        <v>3080</v>
      </c>
      <c r="D3" s="147"/>
      <c r="E3" s="160">
        <f>E29-E19</f>
        <v>1195</v>
      </c>
      <c r="F3" s="147"/>
      <c r="G3" s="161">
        <f>IF(E29&gt;0,(E29-E19)/E29,0)</f>
        <v>0.27953216374269008</v>
      </c>
      <c r="H3" s="147"/>
    </row>
    <row r="4" spans="1:8" ht="14.25" customHeight="1" x14ac:dyDescent="0.25">
      <c r="A4" s="17"/>
      <c r="B4" s="17"/>
      <c r="C4" s="17"/>
      <c r="D4" s="17"/>
      <c r="E4" s="17"/>
      <c r="F4" s="17"/>
      <c r="G4" s="17"/>
      <c r="H4" s="17"/>
    </row>
    <row r="5" spans="1:8" ht="19.5" customHeight="1" x14ac:dyDescent="0.25">
      <c r="A5" s="150" t="s">
        <v>192</v>
      </c>
      <c r="B5" s="146"/>
      <c r="C5" s="146"/>
      <c r="D5" s="146"/>
      <c r="E5" s="146"/>
      <c r="F5" s="146"/>
      <c r="G5" s="146"/>
      <c r="H5" s="147"/>
    </row>
    <row r="6" spans="1:8" ht="15" customHeight="1" x14ac:dyDescent="0.25">
      <c r="A6" s="36" t="s">
        <v>22</v>
      </c>
      <c r="B6" s="36" t="s">
        <v>39</v>
      </c>
      <c r="C6" s="36" t="s">
        <v>40</v>
      </c>
      <c r="D6" s="36" t="s">
        <v>41</v>
      </c>
      <c r="E6" s="36" t="s">
        <v>42</v>
      </c>
      <c r="F6" s="36" t="s">
        <v>43</v>
      </c>
      <c r="G6" s="36" t="s">
        <v>44</v>
      </c>
      <c r="H6" s="36"/>
    </row>
    <row r="7" spans="1:8" ht="15" customHeight="1" x14ac:dyDescent="0.25">
      <c r="A7" s="37" t="s">
        <v>193</v>
      </c>
      <c r="B7" s="38" t="s">
        <v>46</v>
      </c>
      <c r="C7" s="37" t="s">
        <v>167</v>
      </c>
      <c r="D7" s="37" t="s">
        <v>48</v>
      </c>
      <c r="E7" s="39">
        <v>86</v>
      </c>
      <c r="F7" s="37"/>
      <c r="G7" s="37"/>
      <c r="H7" s="37"/>
    </row>
    <row r="8" spans="1:8" ht="15" customHeight="1" x14ac:dyDescent="0.25">
      <c r="A8" s="40" t="s">
        <v>193</v>
      </c>
      <c r="B8" s="41" t="s">
        <v>49</v>
      </c>
      <c r="C8" s="40"/>
      <c r="D8" s="40" t="s">
        <v>50</v>
      </c>
      <c r="E8" s="42">
        <v>216</v>
      </c>
      <c r="F8" s="40"/>
      <c r="G8" s="40"/>
      <c r="H8" s="40"/>
    </row>
    <row r="9" spans="1:8" ht="15" customHeight="1" x14ac:dyDescent="0.25">
      <c r="A9" s="37" t="s">
        <v>193</v>
      </c>
      <c r="B9" s="38" t="s">
        <v>51</v>
      </c>
      <c r="C9" s="37"/>
      <c r="D9" s="37" t="s">
        <v>50</v>
      </c>
      <c r="E9" s="39">
        <v>230</v>
      </c>
      <c r="F9" s="37"/>
      <c r="G9" s="37"/>
      <c r="H9" s="37"/>
    </row>
    <row r="10" spans="1:8" ht="15" customHeight="1" x14ac:dyDescent="0.25">
      <c r="A10" s="40" t="s">
        <v>193</v>
      </c>
      <c r="B10" s="41" t="s">
        <v>52</v>
      </c>
      <c r="C10" s="40"/>
      <c r="D10" s="40" t="s">
        <v>50</v>
      </c>
      <c r="E10" s="42">
        <v>95</v>
      </c>
      <c r="F10" s="40"/>
      <c r="G10" s="40"/>
      <c r="H10" s="40"/>
    </row>
    <row r="11" spans="1:8" ht="15" customHeight="1" x14ac:dyDescent="0.25">
      <c r="A11" s="37" t="s">
        <v>193</v>
      </c>
      <c r="B11" s="38" t="s">
        <v>53</v>
      </c>
      <c r="C11" s="37"/>
      <c r="D11" s="37" t="s">
        <v>50</v>
      </c>
      <c r="E11" s="39">
        <v>120</v>
      </c>
      <c r="F11" s="37"/>
      <c r="G11" s="37"/>
      <c r="H11" s="37"/>
    </row>
    <row r="12" spans="1:8" ht="15" customHeight="1" x14ac:dyDescent="0.25">
      <c r="A12" s="40" t="s">
        <v>193</v>
      </c>
      <c r="B12" s="41" t="s">
        <v>54</v>
      </c>
      <c r="C12" s="40"/>
      <c r="D12" s="40" t="s">
        <v>50</v>
      </c>
      <c r="E12" s="42">
        <v>288</v>
      </c>
      <c r="F12" s="40"/>
      <c r="G12" s="40"/>
      <c r="H12" s="40"/>
    </row>
    <row r="13" spans="1:8" ht="15" customHeight="1" x14ac:dyDescent="0.25">
      <c r="A13" s="37" t="s">
        <v>193</v>
      </c>
      <c r="B13" s="38" t="s">
        <v>55</v>
      </c>
      <c r="C13" s="37"/>
      <c r="D13" s="37" t="s">
        <v>50</v>
      </c>
      <c r="E13" s="39">
        <v>135</v>
      </c>
      <c r="F13" s="37"/>
      <c r="G13" s="37"/>
      <c r="H13" s="37"/>
    </row>
    <row r="14" spans="1:8" ht="15" customHeight="1" x14ac:dyDescent="0.25">
      <c r="A14" s="40" t="s">
        <v>193</v>
      </c>
      <c r="B14" s="40" t="s">
        <v>126</v>
      </c>
      <c r="C14" s="31"/>
      <c r="D14" s="40" t="s">
        <v>50</v>
      </c>
      <c r="E14" s="107">
        <f>'💳 Empréstimo'!F23</f>
        <v>560</v>
      </c>
      <c r="F14" s="31"/>
      <c r="G14" s="40" t="s">
        <v>194</v>
      </c>
      <c r="H14" s="31"/>
    </row>
    <row r="15" spans="1:8" ht="15" customHeight="1" x14ac:dyDescent="0.25">
      <c r="A15" s="31"/>
      <c r="B15" s="31"/>
      <c r="C15" s="31"/>
      <c r="D15" s="31"/>
      <c r="E15" s="29"/>
      <c r="F15" s="31"/>
      <c r="G15" s="31"/>
      <c r="H15" s="31"/>
    </row>
    <row r="16" spans="1:8" ht="15" customHeight="1" x14ac:dyDescent="0.25">
      <c r="A16" s="31"/>
      <c r="B16" s="31"/>
      <c r="C16" s="31"/>
      <c r="D16" s="31"/>
      <c r="E16" s="29"/>
      <c r="F16" s="31"/>
      <c r="G16" s="31"/>
      <c r="H16" s="31"/>
    </row>
    <row r="17" spans="1:8" ht="15" customHeight="1" x14ac:dyDescent="0.25">
      <c r="A17" s="155" t="s">
        <v>56</v>
      </c>
      <c r="B17" s="152"/>
      <c r="C17" s="152"/>
      <c r="D17" s="153"/>
      <c r="E17" s="43">
        <f>SUM(E7:E16)</f>
        <v>1730</v>
      </c>
      <c r="F17" s="44"/>
      <c r="G17" s="44"/>
      <c r="H17" s="44"/>
    </row>
    <row r="18" spans="1:8" ht="15" customHeight="1" x14ac:dyDescent="0.25">
      <c r="A18" s="156" t="s">
        <v>57</v>
      </c>
      <c r="B18" s="152"/>
      <c r="C18" s="152"/>
      <c r="D18" s="153"/>
      <c r="E18" s="45">
        <v>1350</v>
      </c>
      <c r="F18" s="44"/>
      <c r="G18" s="44"/>
      <c r="H18" s="44"/>
    </row>
    <row r="19" spans="1:8" ht="15" customHeight="1" x14ac:dyDescent="0.25">
      <c r="A19" s="157" t="s">
        <v>58</v>
      </c>
      <c r="B19" s="152"/>
      <c r="C19" s="152"/>
      <c r="D19" s="153"/>
      <c r="E19" s="46">
        <f>E17+E18</f>
        <v>3080</v>
      </c>
      <c r="F19" s="47"/>
      <c r="G19" s="47"/>
      <c r="H19" s="47"/>
    </row>
    <row r="20" spans="1:8" ht="14.25" customHeight="1" x14ac:dyDescent="0.25">
      <c r="A20" s="17"/>
      <c r="B20" s="17"/>
      <c r="C20" s="17"/>
      <c r="D20" s="17"/>
      <c r="E20" s="17"/>
      <c r="F20" s="17"/>
      <c r="G20" s="17"/>
      <c r="H20" s="17"/>
    </row>
    <row r="21" spans="1:8" ht="19.5" customHeight="1" x14ac:dyDescent="0.25">
      <c r="A21" s="158" t="s">
        <v>195</v>
      </c>
      <c r="B21" s="146"/>
      <c r="C21" s="146"/>
      <c r="D21" s="146"/>
      <c r="E21" s="146"/>
      <c r="F21" s="146"/>
      <c r="G21" s="146"/>
      <c r="H21" s="147"/>
    </row>
    <row r="22" spans="1:8" ht="15" customHeight="1" x14ac:dyDescent="0.25">
      <c r="A22" s="48" t="s">
        <v>22</v>
      </c>
      <c r="B22" s="48" t="s">
        <v>39</v>
      </c>
      <c r="C22" s="48" t="s">
        <v>40</v>
      </c>
      <c r="D22" s="48" t="s">
        <v>41</v>
      </c>
      <c r="E22" s="48" t="s">
        <v>42</v>
      </c>
      <c r="F22" s="48" t="s">
        <v>60</v>
      </c>
      <c r="G22" s="48" t="s">
        <v>44</v>
      </c>
      <c r="H22" s="48"/>
    </row>
    <row r="23" spans="1:8" ht="15" customHeight="1" x14ac:dyDescent="0.25">
      <c r="A23" s="49" t="s">
        <v>193</v>
      </c>
      <c r="B23" s="50" t="s">
        <v>61</v>
      </c>
      <c r="C23" s="49" t="s">
        <v>62</v>
      </c>
      <c r="D23" s="49" t="s">
        <v>50</v>
      </c>
      <c r="E23" s="51">
        <v>1475</v>
      </c>
      <c r="F23" s="49"/>
      <c r="G23" s="49"/>
      <c r="H23" s="49"/>
    </row>
    <row r="24" spans="1:8" ht="15" customHeight="1" x14ac:dyDescent="0.25">
      <c r="A24" s="52" t="s">
        <v>193</v>
      </c>
      <c r="B24" s="53" t="s">
        <v>63</v>
      </c>
      <c r="C24" s="52" t="s">
        <v>62</v>
      </c>
      <c r="D24" s="52" t="s">
        <v>50</v>
      </c>
      <c r="E24" s="54">
        <v>1300</v>
      </c>
      <c r="F24" s="52"/>
      <c r="G24" s="52"/>
      <c r="H24" s="52"/>
    </row>
    <row r="25" spans="1:8" ht="15" customHeight="1" x14ac:dyDescent="0.25">
      <c r="A25" s="49" t="s">
        <v>193</v>
      </c>
      <c r="B25" s="50" t="s">
        <v>64</v>
      </c>
      <c r="C25" s="49" t="s">
        <v>62</v>
      </c>
      <c r="D25" s="49" t="s">
        <v>50</v>
      </c>
      <c r="E25" s="51">
        <v>1500</v>
      </c>
      <c r="F25" s="49"/>
      <c r="G25" s="49"/>
      <c r="H25" s="49"/>
    </row>
    <row r="26" spans="1:8" ht="15" customHeight="1" x14ac:dyDescent="0.25">
      <c r="A26" s="52"/>
      <c r="B26" s="53"/>
      <c r="C26" s="52"/>
      <c r="D26" s="52"/>
      <c r="E26" s="54"/>
      <c r="F26" s="52"/>
      <c r="G26" s="52"/>
      <c r="H26" s="52"/>
    </row>
    <row r="27" spans="1:8" ht="15" customHeight="1" x14ac:dyDescent="0.25">
      <c r="A27" s="55"/>
      <c r="B27" s="55"/>
      <c r="C27" s="55"/>
      <c r="D27" s="55"/>
      <c r="E27" s="56"/>
      <c r="F27" s="55"/>
      <c r="G27" s="55"/>
      <c r="H27" s="55"/>
    </row>
    <row r="28" spans="1:8" ht="15" customHeight="1" x14ac:dyDescent="0.25">
      <c r="A28" s="55"/>
      <c r="B28" s="55"/>
      <c r="C28" s="55"/>
      <c r="D28" s="55"/>
      <c r="E28" s="56"/>
      <c r="F28" s="55"/>
      <c r="G28" s="55"/>
      <c r="H28" s="55"/>
    </row>
    <row r="29" spans="1:8" ht="15" customHeight="1" x14ac:dyDescent="0.25">
      <c r="A29" s="157" t="s">
        <v>66</v>
      </c>
      <c r="B29" s="152"/>
      <c r="C29" s="152"/>
      <c r="D29" s="153"/>
      <c r="E29" s="46">
        <f>SUM(E23:E28)</f>
        <v>4275</v>
      </c>
      <c r="F29" s="47"/>
      <c r="G29" s="47"/>
      <c r="H29" s="47"/>
    </row>
    <row r="30" spans="1:8" ht="15.75" customHeight="1" x14ac:dyDescent="0.25">
      <c r="A30" s="17"/>
      <c r="B30" s="17"/>
      <c r="C30" s="17"/>
      <c r="D30" s="17"/>
      <c r="E30" s="17"/>
      <c r="F30" s="17"/>
      <c r="G30" s="17"/>
      <c r="H30" s="17"/>
    </row>
    <row r="31" spans="1:8" ht="19.5" customHeight="1" x14ac:dyDescent="0.25">
      <c r="A31" s="159" t="s">
        <v>67</v>
      </c>
      <c r="B31" s="146"/>
      <c r="C31" s="146"/>
      <c r="D31" s="146"/>
      <c r="E31" s="146"/>
      <c r="F31" s="146"/>
      <c r="G31" s="146"/>
      <c r="H31" s="147"/>
    </row>
    <row r="32" spans="1:8" ht="15" customHeight="1" x14ac:dyDescent="0.25">
      <c r="A32" s="151" t="s">
        <v>68</v>
      </c>
      <c r="B32" s="152"/>
      <c r="C32" s="152"/>
      <c r="D32" s="153"/>
      <c r="E32" s="57">
        <f>E29-E19</f>
        <v>1195</v>
      </c>
      <c r="F32" s="58"/>
      <c r="G32" s="58"/>
      <c r="H32" s="58"/>
    </row>
    <row r="33" spans="1:8" ht="15" customHeight="1" x14ac:dyDescent="0.25">
      <c r="A33" s="151" t="s">
        <v>76</v>
      </c>
      <c r="B33" s="152"/>
      <c r="C33" s="152"/>
      <c r="D33" s="153"/>
      <c r="E33" s="57">
        <f>0.7*(E29-E19)</f>
        <v>836.5</v>
      </c>
      <c r="F33" s="58"/>
      <c r="G33" s="58"/>
      <c r="H33" s="58"/>
    </row>
    <row r="34" spans="1:8" ht="15" customHeight="1" x14ac:dyDescent="0.25">
      <c r="A34" s="151" t="s">
        <v>70</v>
      </c>
      <c r="B34" s="152"/>
      <c r="C34" s="152"/>
      <c r="D34" s="153"/>
      <c r="E34" s="57">
        <f>E19/6</f>
        <v>513.33333333333337</v>
      </c>
      <c r="F34" s="58"/>
      <c r="G34" s="58"/>
      <c r="H34" s="58"/>
    </row>
    <row r="35" spans="1:8" ht="15.75" customHeight="1" x14ac:dyDescent="0.25">
      <c r="A35" s="17"/>
      <c r="B35" s="17"/>
      <c r="C35" s="17"/>
      <c r="D35" s="17"/>
      <c r="E35" s="17"/>
      <c r="F35" s="17"/>
      <c r="G35" s="17"/>
      <c r="H35" s="17"/>
    </row>
    <row r="36" spans="1:8" ht="15.75" customHeight="1" x14ac:dyDescent="0.25">
      <c r="A36" s="17"/>
      <c r="B36" s="17"/>
      <c r="C36" s="17"/>
      <c r="D36" s="17"/>
      <c r="E36" s="17"/>
      <c r="F36" s="17"/>
      <c r="G36" s="17"/>
      <c r="H36" s="17"/>
    </row>
    <row r="37" spans="1:8" ht="15.75" customHeight="1" x14ac:dyDescent="0.25">
      <c r="A37" s="17"/>
      <c r="B37" s="17"/>
      <c r="C37" s="17"/>
      <c r="D37" s="17"/>
      <c r="E37" s="17"/>
      <c r="F37" s="17"/>
      <c r="G37" s="17"/>
      <c r="H37" s="17"/>
    </row>
    <row r="38" spans="1:8" ht="15.75" customHeight="1" x14ac:dyDescent="0.25">
      <c r="A38" s="17"/>
      <c r="B38" s="17"/>
      <c r="C38" s="17"/>
      <c r="D38" s="17"/>
      <c r="E38" s="17"/>
      <c r="F38" s="17"/>
      <c r="G38" s="17"/>
      <c r="H38" s="17"/>
    </row>
    <row r="39" spans="1:8" ht="15.75" customHeight="1" x14ac:dyDescent="0.25">
      <c r="A39" s="17"/>
      <c r="B39" s="17"/>
      <c r="C39" s="17"/>
      <c r="D39" s="17"/>
      <c r="E39" s="17"/>
      <c r="F39" s="17"/>
      <c r="G39" s="17"/>
      <c r="H39" s="17"/>
    </row>
    <row r="40" spans="1:8" ht="15.75" customHeight="1" x14ac:dyDescent="0.25">
      <c r="A40" s="17"/>
      <c r="B40" s="17"/>
      <c r="C40" s="17"/>
      <c r="D40" s="17"/>
      <c r="E40" s="17"/>
      <c r="F40" s="17"/>
      <c r="G40" s="17"/>
      <c r="H40" s="17"/>
    </row>
    <row r="41" spans="1:8" ht="15.75" customHeight="1" x14ac:dyDescent="0.25">
      <c r="A41" s="17"/>
      <c r="B41" s="17"/>
      <c r="C41" s="17"/>
      <c r="D41" s="17"/>
      <c r="E41" s="17"/>
      <c r="F41" s="17"/>
      <c r="G41" s="17"/>
      <c r="H41" s="17"/>
    </row>
    <row r="42" spans="1:8" ht="15.75" customHeight="1" x14ac:dyDescent="0.25">
      <c r="A42" s="17"/>
      <c r="B42" s="17"/>
      <c r="C42" s="17"/>
      <c r="D42" s="17"/>
      <c r="E42" s="17"/>
      <c r="F42" s="17"/>
      <c r="G42" s="17"/>
      <c r="H42" s="17"/>
    </row>
    <row r="43" spans="1:8" ht="15.75" customHeight="1" x14ac:dyDescent="0.25">
      <c r="A43" s="17"/>
      <c r="B43" s="17"/>
      <c r="C43" s="17"/>
      <c r="D43" s="17"/>
      <c r="E43" s="17"/>
      <c r="F43" s="17"/>
      <c r="G43" s="17"/>
      <c r="H43" s="17"/>
    </row>
    <row r="44" spans="1:8" ht="15.75" customHeight="1" x14ac:dyDescent="0.25">
      <c r="A44" s="17"/>
      <c r="B44" s="17"/>
      <c r="C44" s="17"/>
      <c r="D44" s="17"/>
      <c r="E44" s="17"/>
      <c r="F44" s="17"/>
      <c r="G44" s="17"/>
      <c r="H44" s="17"/>
    </row>
    <row r="45" spans="1:8" ht="15.75" customHeight="1" x14ac:dyDescent="0.25">
      <c r="A45" s="17"/>
      <c r="B45" s="17"/>
      <c r="C45" s="17"/>
      <c r="D45" s="17"/>
      <c r="E45" s="17"/>
      <c r="F45" s="17"/>
      <c r="G45" s="17"/>
      <c r="H45" s="17"/>
    </row>
    <row r="46" spans="1:8" ht="15.75" customHeight="1" x14ac:dyDescent="0.25">
      <c r="A46" s="17"/>
      <c r="B46" s="17"/>
      <c r="C46" s="17"/>
      <c r="D46" s="17"/>
      <c r="E46" s="17"/>
      <c r="F46" s="17"/>
      <c r="G46" s="17"/>
      <c r="H46" s="17"/>
    </row>
    <row r="47" spans="1:8" ht="15.75" customHeight="1" x14ac:dyDescent="0.25">
      <c r="A47" s="17"/>
      <c r="B47" s="17"/>
      <c r="C47" s="17"/>
      <c r="D47" s="17"/>
      <c r="E47" s="17"/>
      <c r="F47" s="17"/>
      <c r="G47" s="17"/>
      <c r="H47" s="17"/>
    </row>
    <row r="48" spans="1:8" ht="15.75" customHeight="1" x14ac:dyDescent="0.25">
      <c r="A48" s="17"/>
      <c r="B48" s="17"/>
      <c r="C48" s="17"/>
      <c r="D48" s="17"/>
      <c r="E48" s="17"/>
      <c r="F48" s="17"/>
      <c r="G48" s="17"/>
      <c r="H48" s="17"/>
    </row>
    <row r="49" spans="1:8" ht="15.75" customHeight="1" x14ac:dyDescent="0.25">
      <c r="A49" s="17"/>
      <c r="B49" s="17"/>
      <c r="C49" s="17"/>
      <c r="D49" s="17"/>
      <c r="E49" s="17"/>
      <c r="F49" s="17"/>
      <c r="G49" s="17"/>
      <c r="H49" s="17"/>
    </row>
    <row r="50" spans="1:8" ht="15.75" customHeight="1" x14ac:dyDescent="0.25">
      <c r="A50" s="17"/>
      <c r="B50" s="17"/>
      <c r="C50" s="17"/>
      <c r="D50" s="17"/>
      <c r="E50" s="17"/>
      <c r="F50" s="17"/>
      <c r="G50" s="17"/>
      <c r="H50" s="17"/>
    </row>
    <row r="51" spans="1:8" ht="15.75" customHeight="1" x14ac:dyDescent="0.25">
      <c r="A51" s="17"/>
      <c r="B51" s="17"/>
      <c r="C51" s="17"/>
      <c r="D51" s="17"/>
      <c r="E51" s="17"/>
      <c r="F51" s="17"/>
      <c r="G51" s="17"/>
      <c r="H51" s="17"/>
    </row>
    <row r="52" spans="1:8" ht="15.75" customHeight="1" x14ac:dyDescent="0.25">
      <c r="A52" s="17"/>
      <c r="B52" s="17"/>
      <c r="C52" s="17"/>
      <c r="D52" s="17"/>
      <c r="E52" s="17"/>
      <c r="F52" s="17"/>
      <c r="G52" s="17"/>
      <c r="H52" s="17"/>
    </row>
    <row r="53" spans="1:8" ht="15.75" customHeight="1" x14ac:dyDescent="0.25">
      <c r="A53" s="17"/>
      <c r="B53" s="17"/>
      <c r="C53" s="17"/>
      <c r="D53" s="17"/>
      <c r="E53" s="17"/>
      <c r="F53" s="17"/>
      <c r="G53" s="17"/>
      <c r="H53" s="17"/>
    </row>
    <row r="54" spans="1:8" ht="15.75" customHeight="1" x14ac:dyDescent="0.25">
      <c r="A54" s="17"/>
      <c r="B54" s="17"/>
      <c r="C54" s="17"/>
      <c r="D54" s="17"/>
      <c r="E54" s="17"/>
      <c r="F54" s="17"/>
      <c r="G54" s="17"/>
      <c r="H54" s="17"/>
    </row>
    <row r="55" spans="1:8" ht="15.75" customHeight="1" x14ac:dyDescent="0.25">
      <c r="A55" s="17"/>
      <c r="B55" s="17"/>
      <c r="C55" s="17"/>
      <c r="D55" s="17"/>
      <c r="E55" s="17"/>
      <c r="F55" s="17"/>
      <c r="G55" s="17"/>
      <c r="H55" s="17"/>
    </row>
    <row r="56" spans="1:8" ht="15.75" customHeight="1" x14ac:dyDescent="0.25">
      <c r="A56" s="17"/>
      <c r="B56" s="17"/>
      <c r="C56" s="17"/>
      <c r="D56" s="17"/>
      <c r="E56" s="17"/>
      <c r="F56" s="17"/>
      <c r="G56" s="17"/>
      <c r="H56" s="17"/>
    </row>
    <row r="57" spans="1:8" ht="15.75" customHeight="1" x14ac:dyDescent="0.25">
      <c r="A57" s="17"/>
      <c r="B57" s="17"/>
      <c r="C57" s="17"/>
      <c r="D57" s="17"/>
      <c r="E57" s="17"/>
      <c r="F57" s="17"/>
      <c r="G57" s="17"/>
      <c r="H57" s="17"/>
    </row>
    <row r="58" spans="1:8" ht="15.75" customHeight="1" x14ac:dyDescent="0.25">
      <c r="A58" s="17"/>
      <c r="B58" s="17"/>
      <c r="C58" s="17"/>
      <c r="D58" s="17"/>
      <c r="E58" s="17"/>
      <c r="F58" s="17"/>
      <c r="G58" s="17"/>
      <c r="H58" s="17"/>
    </row>
    <row r="59" spans="1:8" ht="15.75" customHeight="1" x14ac:dyDescent="0.25">
      <c r="A59" s="17"/>
      <c r="B59" s="17"/>
      <c r="C59" s="17"/>
      <c r="D59" s="17"/>
      <c r="E59" s="17"/>
      <c r="F59" s="17"/>
      <c r="G59" s="17"/>
      <c r="H59" s="17"/>
    </row>
    <row r="60" spans="1:8" ht="15.75" customHeight="1" x14ac:dyDescent="0.25">
      <c r="A60" s="17"/>
      <c r="B60" s="17"/>
      <c r="C60" s="17"/>
      <c r="D60" s="17"/>
      <c r="E60" s="17"/>
      <c r="F60" s="17"/>
      <c r="G60" s="17"/>
      <c r="H60" s="17"/>
    </row>
    <row r="61" spans="1:8" ht="15.75" customHeight="1" x14ac:dyDescent="0.25">
      <c r="A61" s="17"/>
      <c r="B61" s="17"/>
      <c r="C61" s="17"/>
      <c r="D61" s="17"/>
      <c r="E61" s="17"/>
      <c r="F61" s="17"/>
      <c r="G61" s="17"/>
      <c r="H61" s="17"/>
    </row>
    <row r="62" spans="1:8" ht="15.75" customHeight="1" x14ac:dyDescent="0.25">
      <c r="A62" s="17"/>
      <c r="B62" s="17"/>
      <c r="C62" s="17"/>
      <c r="D62" s="17"/>
      <c r="E62" s="17"/>
      <c r="F62" s="17"/>
      <c r="G62" s="17"/>
      <c r="H62" s="17"/>
    </row>
    <row r="63" spans="1:8" ht="15.75" customHeight="1" x14ac:dyDescent="0.25">
      <c r="A63" s="17"/>
      <c r="B63" s="17"/>
      <c r="C63" s="17"/>
      <c r="D63" s="17"/>
      <c r="E63" s="17"/>
      <c r="F63" s="17"/>
      <c r="G63" s="17"/>
      <c r="H63" s="17"/>
    </row>
    <row r="64" spans="1:8" ht="15.75" customHeight="1" x14ac:dyDescent="0.25">
      <c r="A64" s="17"/>
      <c r="B64" s="17"/>
      <c r="C64" s="17"/>
      <c r="D64" s="17"/>
      <c r="E64" s="17"/>
      <c r="F64" s="17"/>
      <c r="G64" s="17"/>
      <c r="H64" s="17"/>
    </row>
    <row r="65" spans="1:8" ht="15.75" customHeight="1" x14ac:dyDescent="0.25">
      <c r="A65" s="17"/>
      <c r="B65" s="17"/>
      <c r="C65" s="17"/>
      <c r="D65" s="17"/>
      <c r="E65" s="17"/>
      <c r="F65" s="17"/>
      <c r="G65" s="17"/>
      <c r="H65" s="17"/>
    </row>
    <row r="66" spans="1:8" ht="15.75" customHeight="1" x14ac:dyDescent="0.25">
      <c r="A66" s="17"/>
      <c r="B66" s="17"/>
      <c r="C66" s="17"/>
      <c r="D66" s="17"/>
      <c r="E66" s="17"/>
      <c r="F66" s="17"/>
      <c r="G66" s="17"/>
      <c r="H66" s="17"/>
    </row>
    <row r="67" spans="1:8" ht="15.75" customHeight="1" x14ac:dyDescent="0.25">
      <c r="A67" s="17"/>
      <c r="B67" s="17"/>
      <c r="C67" s="17"/>
      <c r="D67" s="17"/>
      <c r="E67" s="17"/>
      <c r="F67" s="17"/>
      <c r="G67" s="17"/>
      <c r="H67" s="17"/>
    </row>
    <row r="68" spans="1:8" ht="15.75" customHeight="1" x14ac:dyDescent="0.25">
      <c r="A68" s="17"/>
      <c r="B68" s="17"/>
      <c r="C68" s="17"/>
      <c r="D68" s="17"/>
      <c r="E68" s="17"/>
      <c r="F68" s="17"/>
      <c r="G68" s="17"/>
      <c r="H68" s="17"/>
    </row>
    <row r="69" spans="1:8" ht="15.75" customHeight="1" x14ac:dyDescent="0.25">
      <c r="A69" s="17"/>
      <c r="B69" s="17"/>
      <c r="C69" s="17"/>
      <c r="D69" s="17"/>
      <c r="E69" s="17"/>
      <c r="F69" s="17"/>
      <c r="G69" s="17"/>
      <c r="H69" s="17"/>
    </row>
    <row r="70" spans="1:8" ht="15.75" customHeight="1" x14ac:dyDescent="0.25">
      <c r="A70" s="17"/>
      <c r="B70" s="17"/>
      <c r="C70" s="17"/>
      <c r="D70" s="17"/>
      <c r="E70" s="17"/>
      <c r="F70" s="17"/>
      <c r="G70" s="17"/>
      <c r="H70" s="17"/>
    </row>
    <row r="71" spans="1:8" ht="15.75" customHeight="1" x14ac:dyDescent="0.25">
      <c r="A71" s="17"/>
      <c r="B71" s="17"/>
      <c r="C71" s="17"/>
      <c r="D71" s="17"/>
      <c r="E71" s="17"/>
      <c r="F71" s="17"/>
      <c r="G71" s="17"/>
      <c r="H71" s="17"/>
    </row>
    <row r="72" spans="1:8" ht="15.75" customHeight="1" x14ac:dyDescent="0.25">
      <c r="A72" s="17"/>
      <c r="B72" s="17"/>
      <c r="C72" s="17"/>
      <c r="D72" s="17"/>
      <c r="E72" s="17"/>
      <c r="F72" s="17"/>
      <c r="G72" s="17"/>
      <c r="H72" s="17"/>
    </row>
    <row r="73" spans="1:8" ht="15.75" customHeight="1" x14ac:dyDescent="0.25">
      <c r="A73" s="17"/>
      <c r="B73" s="17"/>
      <c r="C73" s="17"/>
      <c r="D73" s="17"/>
      <c r="E73" s="17"/>
      <c r="F73" s="17"/>
      <c r="G73" s="17"/>
      <c r="H73" s="17"/>
    </row>
    <row r="74" spans="1:8" ht="15.75" customHeight="1" x14ac:dyDescent="0.25">
      <c r="A74" s="17"/>
      <c r="B74" s="17"/>
      <c r="C74" s="17"/>
      <c r="D74" s="17"/>
      <c r="E74" s="17"/>
      <c r="F74" s="17"/>
      <c r="G74" s="17"/>
      <c r="H74" s="17"/>
    </row>
    <row r="75" spans="1:8" ht="15.75" customHeight="1" x14ac:dyDescent="0.25">
      <c r="A75" s="17"/>
      <c r="B75" s="17"/>
      <c r="C75" s="17"/>
      <c r="D75" s="17"/>
      <c r="E75" s="17"/>
      <c r="F75" s="17"/>
      <c r="G75" s="17"/>
      <c r="H75" s="17"/>
    </row>
    <row r="76" spans="1:8" ht="15.75" customHeight="1" x14ac:dyDescent="0.25">
      <c r="A76" s="17"/>
      <c r="B76" s="17"/>
      <c r="C76" s="17"/>
      <c r="D76" s="17"/>
      <c r="E76" s="17"/>
      <c r="F76" s="17"/>
      <c r="G76" s="17"/>
      <c r="H76" s="17"/>
    </row>
    <row r="77" spans="1:8" ht="15.75" customHeight="1" x14ac:dyDescent="0.25">
      <c r="A77" s="17"/>
      <c r="B77" s="17"/>
      <c r="C77" s="17"/>
      <c r="D77" s="17"/>
      <c r="E77" s="17"/>
      <c r="F77" s="17"/>
      <c r="G77" s="17"/>
      <c r="H77" s="17"/>
    </row>
    <row r="78" spans="1:8" ht="15.75" customHeight="1" x14ac:dyDescent="0.25">
      <c r="A78" s="17"/>
      <c r="B78" s="17"/>
      <c r="C78" s="17"/>
      <c r="D78" s="17"/>
      <c r="E78" s="17"/>
      <c r="F78" s="17"/>
      <c r="G78" s="17"/>
      <c r="H78" s="17"/>
    </row>
    <row r="79" spans="1:8" ht="15.75" customHeight="1" x14ac:dyDescent="0.25">
      <c r="A79" s="17"/>
      <c r="B79" s="17"/>
      <c r="C79" s="17"/>
      <c r="D79" s="17"/>
      <c r="E79" s="17"/>
      <c r="F79" s="17"/>
      <c r="G79" s="17"/>
      <c r="H79" s="17"/>
    </row>
    <row r="80" spans="1:8" ht="15.75" customHeight="1" x14ac:dyDescent="0.25">
      <c r="A80" s="17"/>
      <c r="B80" s="17"/>
      <c r="C80" s="17"/>
      <c r="D80" s="17"/>
      <c r="E80" s="17"/>
      <c r="F80" s="17"/>
      <c r="G80" s="17"/>
      <c r="H80" s="17"/>
    </row>
    <row r="81" spans="1:8" ht="15.75" customHeight="1" x14ac:dyDescent="0.25">
      <c r="A81" s="17"/>
      <c r="B81" s="17"/>
      <c r="C81" s="17"/>
      <c r="D81" s="17"/>
      <c r="E81" s="17"/>
      <c r="F81" s="17"/>
      <c r="G81" s="17"/>
      <c r="H81" s="17"/>
    </row>
    <row r="82" spans="1:8" ht="15.75" customHeight="1" x14ac:dyDescent="0.25">
      <c r="A82" s="17"/>
      <c r="B82" s="17"/>
      <c r="C82" s="17"/>
      <c r="D82" s="17"/>
      <c r="E82" s="17"/>
      <c r="F82" s="17"/>
      <c r="G82" s="17"/>
      <c r="H82" s="17"/>
    </row>
    <row r="83" spans="1:8" ht="15.75" customHeight="1" x14ac:dyDescent="0.25">
      <c r="A83" s="17"/>
      <c r="B83" s="17"/>
      <c r="C83" s="17"/>
      <c r="D83" s="17"/>
      <c r="E83" s="17"/>
      <c r="F83" s="17"/>
      <c r="G83" s="17"/>
      <c r="H83" s="17"/>
    </row>
    <row r="84" spans="1:8" ht="15.75" customHeight="1" x14ac:dyDescent="0.25">
      <c r="A84" s="17"/>
      <c r="B84" s="17"/>
      <c r="C84" s="17"/>
      <c r="D84" s="17"/>
      <c r="E84" s="17"/>
      <c r="F84" s="17"/>
      <c r="G84" s="17"/>
      <c r="H84" s="17"/>
    </row>
    <row r="85" spans="1:8" ht="15.75" customHeight="1" x14ac:dyDescent="0.25">
      <c r="A85" s="17"/>
      <c r="B85" s="17"/>
      <c r="C85" s="17"/>
      <c r="D85" s="17"/>
      <c r="E85" s="17"/>
      <c r="F85" s="17"/>
      <c r="G85" s="17"/>
      <c r="H85" s="17"/>
    </row>
    <row r="86" spans="1:8" ht="15.75" customHeight="1" x14ac:dyDescent="0.25">
      <c r="A86" s="17"/>
      <c r="B86" s="17"/>
      <c r="C86" s="17"/>
      <c r="D86" s="17"/>
      <c r="E86" s="17"/>
      <c r="F86" s="17"/>
      <c r="G86" s="17"/>
      <c r="H86" s="17"/>
    </row>
    <row r="87" spans="1:8" ht="15.75" customHeight="1" x14ac:dyDescent="0.25">
      <c r="A87" s="17"/>
      <c r="B87" s="17"/>
      <c r="C87" s="17"/>
      <c r="D87" s="17"/>
      <c r="E87" s="17"/>
      <c r="F87" s="17"/>
      <c r="G87" s="17"/>
      <c r="H87" s="17"/>
    </row>
    <row r="88" spans="1:8" ht="15.75" customHeight="1" x14ac:dyDescent="0.25">
      <c r="A88" s="17"/>
      <c r="B88" s="17"/>
      <c r="C88" s="17"/>
      <c r="D88" s="17"/>
      <c r="E88" s="17"/>
      <c r="F88" s="17"/>
      <c r="G88" s="17"/>
      <c r="H88" s="17"/>
    </row>
    <row r="89" spans="1:8" ht="15.75" customHeight="1" x14ac:dyDescent="0.25">
      <c r="A89" s="17"/>
      <c r="B89" s="17"/>
      <c r="C89" s="17"/>
      <c r="D89" s="17"/>
      <c r="E89" s="17"/>
      <c r="F89" s="17"/>
      <c r="G89" s="17"/>
      <c r="H89" s="17"/>
    </row>
    <row r="90" spans="1:8" ht="15.75" customHeight="1" x14ac:dyDescent="0.25">
      <c r="A90" s="17"/>
      <c r="B90" s="17"/>
      <c r="C90" s="17"/>
      <c r="D90" s="17"/>
      <c r="E90" s="17"/>
      <c r="F90" s="17"/>
      <c r="G90" s="17"/>
      <c r="H90" s="17"/>
    </row>
    <row r="91" spans="1:8" ht="15.75" customHeight="1" x14ac:dyDescent="0.25">
      <c r="A91" s="17"/>
      <c r="B91" s="17"/>
      <c r="C91" s="17"/>
      <c r="D91" s="17"/>
      <c r="E91" s="17"/>
      <c r="F91" s="17"/>
      <c r="G91" s="17"/>
      <c r="H91" s="17"/>
    </row>
    <row r="92" spans="1:8" ht="15.75" customHeight="1" x14ac:dyDescent="0.25">
      <c r="A92" s="17"/>
      <c r="B92" s="17"/>
      <c r="C92" s="17"/>
      <c r="D92" s="17"/>
      <c r="E92" s="17"/>
      <c r="F92" s="17"/>
      <c r="G92" s="17"/>
      <c r="H92" s="17"/>
    </row>
    <row r="93" spans="1:8" ht="15.75" customHeight="1" x14ac:dyDescent="0.25">
      <c r="A93" s="17"/>
      <c r="B93" s="17"/>
      <c r="C93" s="17"/>
      <c r="D93" s="17"/>
      <c r="E93" s="17"/>
      <c r="F93" s="17"/>
      <c r="G93" s="17"/>
      <c r="H93" s="17"/>
    </row>
    <row r="94" spans="1:8" ht="15.75" customHeight="1" x14ac:dyDescent="0.25">
      <c r="A94" s="17"/>
      <c r="B94" s="17"/>
      <c r="C94" s="17"/>
      <c r="D94" s="17"/>
      <c r="E94" s="17"/>
      <c r="F94" s="17"/>
      <c r="G94" s="17"/>
      <c r="H94" s="17"/>
    </row>
    <row r="95" spans="1:8" ht="15.75" customHeight="1" x14ac:dyDescent="0.25">
      <c r="A95" s="17"/>
      <c r="B95" s="17"/>
      <c r="C95" s="17"/>
      <c r="D95" s="17"/>
      <c r="E95" s="17"/>
      <c r="F95" s="17"/>
      <c r="G95" s="17"/>
      <c r="H95" s="17"/>
    </row>
    <row r="96" spans="1:8" ht="15.75" customHeight="1" x14ac:dyDescent="0.25">
      <c r="A96" s="17"/>
      <c r="B96" s="17"/>
      <c r="C96" s="17"/>
      <c r="D96" s="17"/>
      <c r="E96" s="17"/>
      <c r="F96" s="17"/>
      <c r="G96" s="17"/>
      <c r="H96" s="17"/>
    </row>
    <row r="97" spans="1:8" ht="15.75" customHeight="1" x14ac:dyDescent="0.25">
      <c r="A97" s="17"/>
      <c r="B97" s="17"/>
      <c r="C97" s="17"/>
      <c r="D97" s="17"/>
      <c r="E97" s="17"/>
      <c r="F97" s="17"/>
      <c r="G97" s="17"/>
      <c r="H97" s="17"/>
    </row>
    <row r="98" spans="1:8" ht="15.75" customHeight="1" x14ac:dyDescent="0.25">
      <c r="A98" s="17"/>
      <c r="B98" s="17"/>
      <c r="C98" s="17"/>
      <c r="D98" s="17"/>
      <c r="E98" s="17"/>
      <c r="F98" s="17"/>
      <c r="G98" s="17"/>
      <c r="H98" s="17"/>
    </row>
    <row r="99" spans="1:8" ht="15.75" customHeight="1" x14ac:dyDescent="0.25">
      <c r="A99" s="17"/>
      <c r="B99" s="17"/>
      <c r="C99" s="17"/>
      <c r="D99" s="17"/>
      <c r="E99" s="17"/>
      <c r="F99" s="17"/>
      <c r="G99" s="17"/>
      <c r="H99" s="17"/>
    </row>
    <row r="100" spans="1:8" ht="15.75" customHeight="1" x14ac:dyDescent="0.25">
      <c r="A100" s="17"/>
      <c r="B100" s="17"/>
      <c r="C100" s="17"/>
      <c r="D100" s="17"/>
      <c r="E100" s="17"/>
      <c r="F100" s="17"/>
      <c r="G100" s="17"/>
      <c r="H100" s="17"/>
    </row>
  </sheetData>
  <mergeCells count="19">
    <mergeCell ref="A1:H1"/>
    <mergeCell ref="A2:B2"/>
    <mergeCell ref="C2:D2"/>
    <mergeCell ref="E2:F2"/>
    <mergeCell ref="G2:H2"/>
    <mergeCell ref="A5:H5"/>
    <mergeCell ref="A32:D32"/>
    <mergeCell ref="A33:D33"/>
    <mergeCell ref="A34:D34"/>
    <mergeCell ref="C3:D3"/>
    <mergeCell ref="A17:D17"/>
    <mergeCell ref="A18:D18"/>
    <mergeCell ref="A19:D19"/>
    <mergeCell ref="A21:H21"/>
    <mergeCell ref="A29:D29"/>
    <mergeCell ref="A31:H31"/>
    <mergeCell ref="E3:F3"/>
    <mergeCell ref="G3:H3"/>
    <mergeCell ref="A3:B3"/>
  </mergeCells>
  <pageMargins left="0.75" right="0.75" top="1" bottom="1" header="0" footer="0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2E86AB"/>
  </sheetPr>
  <dimension ref="A1:H100"/>
  <sheetViews>
    <sheetView workbookViewId="0">
      <selection sqref="A1:H1"/>
    </sheetView>
  </sheetViews>
  <sheetFormatPr defaultColWidth="14.42578125" defaultRowHeight="15" customHeight="1" x14ac:dyDescent="0.25"/>
  <cols>
    <col min="1" max="1" width="10" customWidth="1"/>
    <col min="2" max="2" width="26" customWidth="1"/>
    <col min="3" max="7" width="16" customWidth="1"/>
    <col min="8" max="8" width="20" customWidth="1"/>
  </cols>
  <sheetData>
    <row r="1" spans="1:8" ht="27.75" customHeight="1" x14ac:dyDescent="0.25">
      <c r="A1" s="163" t="s">
        <v>196</v>
      </c>
      <c r="B1" s="146"/>
      <c r="C1" s="146"/>
      <c r="D1" s="146"/>
      <c r="E1" s="146"/>
      <c r="F1" s="146"/>
      <c r="G1" s="146"/>
      <c r="H1" s="147"/>
    </row>
    <row r="2" spans="1:8" ht="18" customHeight="1" x14ac:dyDescent="0.25">
      <c r="A2" s="164" t="s">
        <v>34</v>
      </c>
      <c r="B2" s="147"/>
      <c r="C2" s="164" t="s">
        <v>35</v>
      </c>
      <c r="D2" s="147"/>
      <c r="E2" s="164" t="s">
        <v>36</v>
      </c>
      <c r="F2" s="147"/>
      <c r="G2" s="164" t="s">
        <v>37</v>
      </c>
      <c r="H2" s="147"/>
    </row>
    <row r="3" spans="1:8" ht="21.75" customHeight="1" x14ac:dyDescent="0.25">
      <c r="A3" s="162">
        <f>E29</f>
        <v>4275</v>
      </c>
      <c r="B3" s="147"/>
      <c r="C3" s="154">
        <f>E19</f>
        <v>3080</v>
      </c>
      <c r="D3" s="147"/>
      <c r="E3" s="160">
        <f>E29-E19</f>
        <v>1195</v>
      </c>
      <c r="F3" s="147"/>
      <c r="G3" s="161">
        <f>IF(E29&gt;0,(E29-E19)/E29,0)</f>
        <v>0.27953216374269008</v>
      </c>
      <c r="H3" s="147"/>
    </row>
    <row r="4" spans="1:8" ht="14.25" customHeight="1" x14ac:dyDescent="0.25">
      <c r="A4" s="17"/>
      <c r="B4" s="17"/>
      <c r="C4" s="17"/>
      <c r="D4" s="17"/>
      <c r="E4" s="17"/>
      <c r="F4" s="17"/>
      <c r="G4" s="17"/>
      <c r="H4" s="17"/>
    </row>
    <row r="5" spans="1:8" ht="19.5" customHeight="1" x14ac:dyDescent="0.25">
      <c r="A5" s="150" t="s">
        <v>197</v>
      </c>
      <c r="B5" s="146"/>
      <c r="C5" s="146"/>
      <c r="D5" s="146"/>
      <c r="E5" s="146"/>
      <c r="F5" s="146"/>
      <c r="G5" s="146"/>
      <c r="H5" s="147"/>
    </row>
    <row r="6" spans="1:8" ht="15" customHeight="1" x14ac:dyDescent="0.25">
      <c r="A6" s="36" t="s">
        <v>22</v>
      </c>
      <c r="B6" s="36" t="s">
        <v>39</v>
      </c>
      <c r="C6" s="36" t="s">
        <v>40</v>
      </c>
      <c r="D6" s="36" t="s">
        <v>41</v>
      </c>
      <c r="E6" s="36" t="s">
        <v>42</v>
      </c>
      <c r="F6" s="36" t="s">
        <v>43</v>
      </c>
      <c r="G6" s="36" t="s">
        <v>44</v>
      </c>
      <c r="H6" s="36"/>
    </row>
    <row r="7" spans="1:8" ht="15" customHeight="1" x14ac:dyDescent="0.25">
      <c r="A7" s="37" t="s">
        <v>198</v>
      </c>
      <c r="B7" s="38" t="s">
        <v>46</v>
      </c>
      <c r="C7" s="37" t="s">
        <v>167</v>
      </c>
      <c r="D7" s="37" t="s">
        <v>48</v>
      </c>
      <c r="E7" s="39">
        <v>86</v>
      </c>
      <c r="F7" s="37"/>
      <c r="G7" s="37"/>
      <c r="H7" s="37"/>
    </row>
    <row r="8" spans="1:8" ht="15" customHeight="1" x14ac:dyDescent="0.25">
      <c r="A8" s="40" t="s">
        <v>198</v>
      </c>
      <c r="B8" s="41" t="s">
        <v>49</v>
      </c>
      <c r="C8" s="40"/>
      <c r="D8" s="40" t="s">
        <v>50</v>
      </c>
      <c r="E8" s="42">
        <v>216</v>
      </c>
      <c r="F8" s="40"/>
      <c r="G8" s="40"/>
      <c r="H8" s="40"/>
    </row>
    <row r="9" spans="1:8" ht="15" customHeight="1" x14ac:dyDescent="0.25">
      <c r="A9" s="37" t="s">
        <v>198</v>
      </c>
      <c r="B9" s="38" t="s">
        <v>51</v>
      </c>
      <c r="C9" s="37"/>
      <c r="D9" s="37" t="s">
        <v>50</v>
      </c>
      <c r="E9" s="39">
        <v>230</v>
      </c>
      <c r="F9" s="37"/>
      <c r="G9" s="37"/>
      <c r="H9" s="37"/>
    </row>
    <row r="10" spans="1:8" ht="15" customHeight="1" x14ac:dyDescent="0.25">
      <c r="A10" s="40" t="s">
        <v>198</v>
      </c>
      <c r="B10" s="41" t="s">
        <v>52</v>
      </c>
      <c r="C10" s="40"/>
      <c r="D10" s="40" t="s">
        <v>50</v>
      </c>
      <c r="E10" s="42">
        <v>95</v>
      </c>
      <c r="F10" s="40"/>
      <c r="G10" s="40"/>
      <c r="H10" s="40"/>
    </row>
    <row r="11" spans="1:8" ht="15" customHeight="1" x14ac:dyDescent="0.25">
      <c r="A11" s="37" t="s">
        <v>198</v>
      </c>
      <c r="B11" s="38" t="s">
        <v>53</v>
      </c>
      <c r="C11" s="37"/>
      <c r="D11" s="37" t="s">
        <v>50</v>
      </c>
      <c r="E11" s="39">
        <v>120</v>
      </c>
      <c r="F11" s="37"/>
      <c r="G11" s="37"/>
      <c r="H11" s="37"/>
    </row>
    <row r="12" spans="1:8" ht="15" customHeight="1" x14ac:dyDescent="0.25">
      <c r="A12" s="40" t="s">
        <v>198</v>
      </c>
      <c r="B12" s="41" t="s">
        <v>54</v>
      </c>
      <c r="C12" s="40"/>
      <c r="D12" s="40" t="s">
        <v>50</v>
      </c>
      <c r="E12" s="42">
        <v>288</v>
      </c>
      <c r="F12" s="40"/>
      <c r="G12" s="40"/>
      <c r="H12" s="40"/>
    </row>
    <row r="13" spans="1:8" ht="15" customHeight="1" x14ac:dyDescent="0.25">
      <c r="A13" s="37" t="s">
        <v>198</v>
      </c>
      <c r="B13" s="38" t="s">
        <v>55</v>
      </c>
      <c r="C13" s="37"/>
      <c r="D13" s="37" t="s">
        <v>50</v>
      </c>
      <c r="E13" s="39">
        <v>135</v>
      </c>
      <c r="F13" s="37"/>
      <c r="G13" s="37"/>
      <c r="H13" s="37"/>
    </row>
    <row r="14" spans="1:8" ht="15" customHeight="1" x14ac:dyDescent="0.25">
      <c r="A14" s="40" t="s">
        <v>198</v>
      </c>
      <c r="B14" s="40" t="s">
        <v>126</v>
      </c>
      <c r="C14" s="31"/>
      <c r="D14" s="40" t="s">
        <v>50</v>
      </c>
      <c r="E14" s="107">
        <f>'💳 Empréstimo'!F24</f>
        <v>560</v>
      </c>
      <c r="F14" s="31"/>
      <c r="G14" s="40" t="s">
        <v>199</v>
      </c>
      <c r="H14" s="31"/>
    </row>
    <row r="15" spans="1:8" ht="15" customHeight="1" x14ac:dyDescent="0.25">
      <c r="A15" s="31"/>
      <c r="B15" s="31"/>
      <c r="C15" s="31"/>
      <c r="D15" s="31"/>
      <c r="E15" s="29"/>
      <c r="F15" s="31"/>
      <c r="G15" s="31"/>
      <c r="H15" s="31"/>
    </row>
    <row r="16" spans="1:8" ht="15" customHeight="1" x14ac:dyDescent="0.25">
      <c r="A16" s="31"/>
      <c r="B16" s="31"/>
      <c r="C16" s="31"/>
      <c r="D16" s="31"/>
      <c r="E16" s="29"/>
      <c r="F16" s="31"/>
      <c r="G16" s="31"/>
      <c r="H16" s="31"/>
    </row>
    <row r="17" spans="1:8" ht="15" customHeight="1" x14ac:dyDescent="0.25">
      <c r="A17" s="155" t="s">
        <v>56</v>
      </c>
      <c r="B17" s="152"/>
      <c r="C17" s="152"/>
      <c r="D17" s="153"/>
      <c r="E17" s="43">
        <f>SUM(E7:E16)</f>
        <v>1730</v>
      </c>
      <c r="F17" s="44"/>
      <c r="G17" s="44"/>
      <c r="H17" s="44"/>
    </row>
    <row r="18" spans="1:8" ht="15" customHeight="1" x14ac:dyDescent="0.25">
      <c r="A18" s="156" t="s">
        <v>57</v>
      </c>
      <c r="B18" s="152"/>
      <c r="C18" s="152"/>
      <c r="D18" s="153"/>
      <c r="E18" s="45">
        <v>1350</v>
      </c>
      <c r="F18" s="44"/>
      <c r="G18" s="44"/>
      <c r="H18" s="44"/>
    </row>
    <row r="19" spans="1:8" ht="15" customHeight="1" x14ac:dyDescent="0.25">
      <c r="A19" s="157" t="s">
        <v>58</v>
      </c>
      <c r="B19" s="152"/>
      <c r="C19" s="152"/>
      <c r="D19" s="153"/>
      <c r="E19" s="46">
        <f>E17+E18</f>
        <v>3080</v>
      </c>
      <c r="F19" s="47"/>
      <c r="G19" s="47"/>
      <c r="H19" s="47"/>
    </row>
    <row r="20" spans="1:8" ht="14.25" customHeight="1" x14ac:dyDescent="0.25">
      <c r="A20" s="17"/>
      <c r="B20" s="17"/>
      <c r="C20" s="17"/>
      <c r="D20" s="17"/>
      <c r="E20" s="17"/>
      <c r="F20" s="17"/>
      <c r="G20" s="17"/>
      <c r="H20" s="17"/>
    </row>
    <row r="21" spans="1:8" ht="19.5" customHeight="1" x14ac:dyDescent="0.25">
      <c r="A21" s="158" t="s">
        <v>200</v>
      </c>
      <c r="B21" s="146"/>
      <c r="C21" s="146"/>
      <c r="D21" s="146"/>
      <c r="E21" s="146"/>
      <c r="F21" s="146"/>
      <c r="G21" s="146"/>
      <c r="H21" s="147"/>
    </row>
    <row r="22" spans="1:8" ht="15" customHeight="1" x14ac:dyDescent="0.25">
      <c r="A22" s="48" t="s">
        <v>22</v>
      </c>
      <c r="B22" s="48" t="s">
        <v>39</v>
      </c>
      <c r="C22" s="48" t="s">
        <v>40</v>
      </c>
      <c r="D22" s="48" t="s">
        <v>41</v>
      </c>
      <c r="E22" s="48" t="s">
        <v>42</v>
      </c>
      <c r="F22" s="48" t="s">
        <v>60</v>
      </c>
      <c r="G22" s="48" t="s">
        <v>44</v>
      </c>
      <c r="H22" s="48"/>
    </row>
    <row r="23" spans="1:8" ht="15" customHeight="1" x14ac:dyDescent="0.25">
      <c r="A23" s="49" t="s">
        <v>198</v>
      </c>
      <c r="B23" s="50" t="s">
        <v>61</v>
      </c>
      <c r="C23" s="49" t="s">
        <v>62</v>
      </c>
      <c r="D23" s="49" t="s">
        <v>50</v>
      </c>
      <c r="E23" s="51">
        <v>1475</v>
      </c>
      <c r="F23" s="49"/>
      <c r="G23" s="49"/>
      <c r="H23" s="49"/>
    </row>
    <row r="24" spans="1:8" ht="15" customHeight="1" x14ac:dyDescent="0.25">
      <c r="A24" s="52" t="s">
        <v>198</v>
      </c>
      <c r="B24" s="53" t="s">
        <v>63</v>
      </c>
      <c r="C24" s="52" t="s">
        <v>62</v>
      </c>
      <c r="D24" s="52" t="s">
        <v>50</v>
      </c>
      <c r="E24" s="54">
        <v>1300</v>
      </c>
      <c r="F24" s="52"/>
      <c r="G24" s="52"/>
      <c r="H24" s="52"/>
    </row>
    <row r="25" spans="1:8" ht="15" customHeight="1" x14ac:dyDescent="0.25">
      <c r="A25" s="49" t="s">
        <v>198</v>
      </c>
      <c r="B25" s="50" t="s">
        <v>64</v>
      </c>
      <c r="C25" s="49" t="s">
        <v>62</v>
      </c>
      <c r="D25" s="49" t="s">
        <v>50</v>
      </c>
      <c r="E25" s="51">
        <v>1500</v>
      </c>
      <c r="F25" s="49"/>
      <c r="G25" s="49"/>
      <c r="H25" s="49"/>
    </row>
    <row r="26" spans="1:8" ht="15" customHeight="1" x14ac:dyDescent="0.25">
      <c r="A26" s="52"/>
      <c r="B26" s="53"/>
      <c r="C26" s="52"/>
      <c r="D26" s="52"/>
      <c r="E26" s="54"/>
      <c r="F26" s="52"/>
      <c r="G26" s="52"/>
      <c r="H26" s="52"/>
    </row>
    <row r="27" spans="1:8" ht="15" customHeight="1" x14ac:dyDescent="0.25">
      <c r="A27" s="55"/>
      <c r="B27" s="55"/>
      <c r="C27" s="55"/>
      <c r="D27" s="55"/>
      <c r="E27" s="56"/>
      <c r="F27" s="55"/>
      <c r="G27" s="55"/>
      <c r="H27" s="55"/>
    </row>
    <row r="28" spans="1:8" ht="15" customHeight="1" x14ac:dyDescent="0.25">
      <c r="A28" s="55"/>
      <c r="B28" s="55"/>
      <c r="C28" s="55"/>
      <c r="D28" s="55"/>
      <c r="E28" s="56"/>
      <c r="F28" s="55"/>
      <c r="G28" s="55"/>
      <c r="H28" s="55"/>
    </row>
    <row r="29" spans="1:8" ht="15" customHeight="1" x14ac:dyDescent="0.25">
      <c r="A29" s="157" t="s">
        <v>66</v>
      </c>
      <c r="B29" s="152"/>
      <c r="C29" s="152"/>
      <c r="D29" s="153"/>
      <c r="E29" s="46">
        <f>SUM(E23:E28)</f>
        <v>4275</v>
      </c>
      <c r="F29" s="47"/>
      <c r="G29" s="47"/>
      <c r="H29" s="47"/>
    </row>
    <row r="30" spans="1:8" ht="15.75" customHeight="1" x14ac:dyDescent="0.25">
      <c r="A30" s="17"/>
      <c r="B30" s="17"/>
      <c r="C30" s="17"/>
      <c r="D30" s="17"/>
      <c r="E30" s="17"/>
      <c r="F30" s="17"/>
      <c r="G30" s="17"/>
      <c r="H30" s="17"/>
    </row>
    <row r="31" spans="1:8" ht="19.5" customHeight="1" x14ac:dyDescent="0.25">
      <c r="A31" s="159" t="s">
        <v>67</v>
      </c>
      <c r="B31" s="146"/>
      <c r="C31" s="146"/>
      <c r="D31" s="146"/>
      <c r="E31" s="146"/>
      <c r="F31" s="146"/>
      <c r="G31" s="146"/>
      <c r="H31" s="147"/>
    </row>
    <row r="32" spans="1:8" ht="15" customHeight="1" x14ac:dyDescent="0.25">
      <c r="A32" s="151" t="s">
        <v>68</v>
      </c>
      <c r="B32" s="152"/>
      <c r="C32" s="152"/>
      <c r="D32" s="153"/>
      <c r="E32" s="57">
        <f>E29-E19</f>
        <v>1195</v>
      </c>
      <c r="F32" s="58"/>
      <c r="G32" s="58"/>
      <c r="H32" s="58"/>
    </row>
    <row r="33" spans="1:8" ht="15" customHeight="1" x14ac:dyDescent="0.25">
      <c r="A33" s="151" t="s">
        <v>76</v>
      </c>
      <c r="B33" s="152"/>
      <c r="C33" s="152"/>
      <c r="D33" s="153"/>
      <c r="E33" s="57">
        <f>0.7*(E29-E19)</f>
        <v>836.5</v>
      </c>
      <c r="F33" s="58"/>
      <c r="G33" s="58"/>
      <c r="H33" s="58"/>
    </row>
    <row r="34" spans="1:8" ht="15" customHeight="1" x14ac:dyDescent="0.25">
      <c r="A34" s="151" t="s">
        <v>70</v>
      </c>
      <c r="B34" s="152"/>
      <c r="C34" s="152"/>
      <c r="D34" s="153"/>
      <c r="E34" s="57">
        <f>E19/6</f>
        <v>513.33333333333337</v>
      </c>
      <c r="F34" s="58"/>
      <c r="G34" s="58"/>
      <c r="H34" s="58"/>
    </row>
    <row r="35" spans="1:8" ht="15.75" customHeight="1" x14ac:dyDescent="0.25">
      <c r="A35" s="17"/>
      <c r="B35" s="17"/>
      <c r="C35" s="17"/>
      <c r="D35" s="17"/>
      <c r="E35" s="17"/>
      <c r="F35" s="17"/>
      <c r="G35" s="17"/>
      <c r="H35" s="17"/>
    </row>
    <row r="36" spans="1:8" ht="15.75" customHeight="1" x14ac:dyDescent="0.25">
      <c r="A36" s="17"/>
      <c r="B36" s="17"/>
      <c r="C36" s="17"/>
      <c r="D36" s="17"/>
      <c r="E36" s="17"/>
      <c r="F36" s="17"/>
      <c r="G36" s="17"/>
      <c r="H36" s="17"/>
    </row>
    <row r="37" spans="1:8" ht="15.75" customHeight="1" x14ac:dyDescent="0.25">
      <c r="A37" s="17"/>
      <c r="B37" s="17"/>
      <c r="C37" s="17"/>
      <c r="D37" s="17"/>
      <c r="E37" s="17"/>
      <c r="F37" s="17"/>
      <c r="G37" s="17"/>
      <c r="H37" s="17"/>
    </row>
    <row r="38" spans="1:8" ht="15.75" customHeight="1" x14ac:dyDescent="0.25">
      <c r="A38" s="17"/>
      <c r="B38" s="17"/>
      <c r="C38" s="17"/>
      <c r="D38" s="17"/>
      <c r="E38" s="17"/>
      <c r="F38" s="17"/>
      <c r="G38" s="17"/>
      <c r="H38" s="17"/>
    </row>
    <row r="39" spans="1:8" ht="15.75" customHeight="1" x14ac:dyDescent="0.25">
      <c r="A39" s="17"/>
      <c r="B39" s="17"/>
      <c r="C39" s="17"/>
      <c r="D39" s="17"/>
      <c r="E39" s="17"/>
      <c r="F39" s="17"/>
      <c r="G39" s="17"/>
      <c r="H39" s="17"/>
    </row>
    <row r="40" spans="1:8" ht="15.75" customHeight="1" x14ac:dyDescent="0.25">
      <c r="A40" s="17"/>
      <c r="B40" s="17"/>
      <c r="C40" s="17"/>
      <c r="D40" s="17"/>
      <c r="E40" s="17"/>
      <c r="F40" s="17"/>
      <c r="G40" s="17"/>
      <c r="H40" s="17"/>
    </row>
    <row r="41" spans="1:8" ht="15.75" customHeight="1" x14ac:dyDescent="0.25">
      <c r="A41" s="17"/>
      <c r="B41" s="17"/>
      <c r="C41" s="17"/>
      <c r="D41" s="17"/>
      <c r="E41" s="17"/>
      <c r="F41" s="17"/>
      <c r="G41" s="17"/>
      <c r="H41" s="17"/>
    </row>
    <row r="42" spans="1:8" ht="15.75" customHeight="1" x14ac:dyDescent="0.25">
      <c r="A42" s="17"/>
      <c r="B42" s="17"/>
      <c r="C42" s="17"/>
      <c r="D42" s="17"/>
      <c r="E42" s="17"/>
      <c r="F42" s="17"/>
      <c r="G42" s="17"/>
      <c r="H42" s="17"/>
    </row>
    <row r="43" spans="1:8" ht="15.75" customHeight="1" x14ac:dyDescent="0.25">
      <c r="A43" s="17"/>
      <c r="B43" s="17"/>
      <c r="C43" s="17"/>
      <c r="D43" s="17"/>
      <c r="E43" s="17"/>
      <c r="F43" s="17"/>
      <c r="G43" s="17"/>
      <c r="H43" s="17"/>
    </row>
    <row r="44" spans="1:8" ht="15.75" customHeight="1" x14ac:dyDescent="0.25">
      <c r="A44" s="17"/>
      <c r="B44" s="17"/>
      <c r="C44" s="17"/>
      <c r="D44" s="17"/>
      <c r="E44" s="17"/>
      <c r="F44" s="17"/>
      <c r="G44" s="17"/>
      <c r="H44" s="17"/>
    </row>
    <row r="45" spans="1:8" ht="15.75" customHeight="1" x14ac:dyDescent="0.25">
      <c r="A45" s="17"/>
      <c r="B45" s="17"/>
      <c r="C45" s="17"/>
      <c r="D45" s="17"/>
      <c r="E45" s="17"/>
      <c r="F45" s="17"/>
      <c r="G45" s="17"/>
      <c r="H45" s="17"/>
    </row>
    <row r="46" spans="1:8" ht="15.75" customHeight="1" x14ac:dyDescent="0.25">
      <c r="A46" s="17"/>
      <c r="B46" s="17"/>
      <c r="C46" s="17"/>
      <c r="D46" s="17"/>
      <c r="E46" s="17"/>
      <c r="F46" s="17"/>
      <c r="G46" s="17"/>
      <c r="H46" s="17"/>
    </row>
    <row r="47" spans="1:8" ht="15.75" customHeight="1" x14ac:dyDescent="0.25">
      <c r="A47" s="17"/>
      <c r="B47" s="17"/>
      <c r="C47" s="17"/>
      <c r="D47" s="17"/>
      <c r="E47" s="17"/>
      <c r="F47" s="17"/>
      <c r="G47" s="17"/>
      <c r="H47" s="17"/>
    </row>
    <row r="48" spans="1:8" ht="15.75" customHeight="1" x14ac:dyDescent="0.25">
      <c r="A48" s="17"/>
      <c r="B48" s="17"/>
      <c r="C48" s="17"/>
      <c r="D48" s="17"/>
      <c r="E48" s="17"/>
      <c r="F48" s="17"/>
      <c r="G48" s="17"/>
      <c r="H48" s="17"/>
    </row>
    <row r="49" spans="1:8" ht="15.75" customHeight="1" x14ac:dyDescent="0.25">
      <c r="A49" s="17"/>
      <c r="B49" s="17"/>
      <c r="C49" s="17"/>
      <c r="D49" s="17"/>
      <c r="E49" s="17"/>
      <c r="F49" s="17"/>
      <c r="G49" s="17"/>
      <c r="H49" s="17"/>
    </row>
    <row r="50" spans="1:8" ht="15.75" customHeight="1" x14ac:dyDescent="0.25">
      <c r="A50" s="17"/>
      <c r="B50" s="17"/>
      <c r="C50" s="17"/>
      <c r="D50" s="17"/>
      <c r="E50" s="17"/>
      <c r="F50" s="17"/>
      <c r="G50" s="17"/>
      <c r="H50" s="17"/>
    </row>
    <row r="51" spans="1:8" ht="15.75" customHeight="1" x14ac:dyDescent="0.25">
      <c r="A51" s="17"/>
      <c r="B51" s="17"/>
      <c r="C51" s="17"/>
      <c r="D51" s="17"/>
      <c r="E51" s="17"/>
      <c r="F51" s="17"/>
      <c r="G51" s="17"/>
      <c r="H51" s="17"/>
    </row>
    <row r="52" spans="1:8" ht="15.75" customHeight="1" x14ac:dyDescent="0.25">
      <c r="A52" s="17"/>
      <c r="B52" s="17"/>
      <c r="C52" s="17"/>
      <c r="D52" s="17"/>
      <c r="E52" s="17"/>
      <c r="F52" s="17"/>
      <c r="G52" s="17"/>
      <c r="H52" s="17"/>
    </row>
    <row r="53" spans="1:8" ht="15.75" customHeight="1" x14ac:dyDescent="0.25">
      <c r="A53" s="17"/>
      <c r="B53" s="17"/>
      <c r="C53" s="17"/>
      <c r="D53" s="17"/>
      <c r="E53" s="17"/>
      <c r="F53" s="17"/>
      <c r="G53" s="17"/>
      <c r="H53" s="17"/>
    </row>
    <row r="54" spans="1:8" ht="15.75" customHeight="1" x14ac:dyDescent="0.25">
      <c r="A54" s="17"/>
      <c r="B54" s="17"/>
      <c r="C54" s="17"/>
      <c r="D54" s="17"/>
      <c r="E54" s="17"/>
      <c r="F54" s="17"/>
      <c r="G54" s="17"/>
      <c r="H54" s="17"/>
    </row>
    <row r="55" spans="1:8" ht="15.75" customHeight="1" x14ac:dyDescent="0.25">
      <c r="A55" s="17"/>
      <c r="B55" s="17"/>
      <c r="C55" s="17"/>
      <c r="D55" s="17"/>
      <c r="E55" s="17"/>
      <c r="F55" s="17"/>
      <c r="G55" s="17"/>
      <c r="H55" s="17"/>
    </row>
    <row r="56" spans="1:8" ht="15.75" customHeight="1" x14ac:dyDescent="0.25">
      <c r="A56" s="17"/>
      <c r="B56" s="17"/>
      <c r="C56" s="17"/>
      <c r="D56" s="17"/>
      <c r="E56" s="17"/>
      <c r="F56" s="17"/>
      <c r="G56" s="17"/>
      <c r="H56" s="17"/>
    </row>
    <row r="57" spans="1:8" ht="15.75" customHeight="1" x14ac:dyDescent="0.25">
      <c r="A57" s="17"/>
      <c r="B57" s="17"/>
      <c r="C57" s="17"/>
      <c r="D57" s="17"/>
      <c r="E57" s="17"/>
      <c r="F57" s="17"/>
      <c r="G57" s="17"/>
      <c r="H57" s="17"/>
    </row>
    <row r="58" spans="1:8" ht="15.75" customHeight="1" x14ac:dyDescent="0.25">
      <c r="A58" s="17"/>
      <c r="B58" s="17"/>
      <c r="C58" s="17"/>
      <c r="D58" s="17"/>
      <c r="E58" s="17"/>
      <c r="F58" s="17"/>
      <c r="G58" s="17"/>
      <c r="H58" s="17"/>
    </row>
    <row r="59" spans="1:8" ht="15.75" customHeight="1" x14ac:dyDescent="0.25">
      <c r="A59" s="17"/>
      <c r="B59" s="17"/>
      <c r="C59" s="17"/>
      <c r="D59" s="17"/>
      <c r="E59" s="17"/>
      <c r="F59" s="17"/>
      <c r="G59" s="17"/>
      <c r="H59" s="17"/>
    </row>
    <row r="60" spans="1:8" ht="15.75" customHeight="1" x14ac:dyDescent="0.25">
      <c r="A60" s="17"/>
      <c r="B60" s="17"/>
      <c r="C60" s="17"/>
      <c r="D60" s="17"/>
      <c r="E60" s="17"/>
      <c r="F60" s="17"/>
      <c r="G60" s="17"/>
      <c r="H60" s="17"/>
    </row>
    <row r="61" spans="1:8" ht="15.75" customHeight="1" x14ac:dyDescent="0.25">
      <c r="A61" s="17"/>
      <c r="B61" s="17"/>
      <c r="C61" s="17"/>
      <c r="D61" s="17"/>
      <c r="E61" s="17"/>
      <c r="F61" s="17"/>
      <c r="G61" s="17"/>
      <c r="H61" s="17"/>
    </row>
    <row r="62" spans="1:8" ht="15.75" customHeight="1" x14ac:dyDescent="0.25">
      <c r="A62" s="17"/>
      <c r="B62" s="17"/>
      <c r="C62" s="17"/>
      <c r="D62" s="17"/>
      <c r="E62" s="17"/>
      <c r="F62" s="17"/>
      <c r="G62" s="17"/>
      <c r="H62" s="17"/>
    </row>
    <row r="63" spans="1:8" ht="15.75" customHeight="1" x14ac:dyDescent="0.25">
      <c r="A63" s="17"/>
      <c r="B63" s="17"/>
      <c r="C63" s="17"/>
      <c r="D63" s="17"/>
      <c r="E63" s="17"/>
      <c r="F63" s="17"/>
      <c r="G63" s="17"/>
      <c r="H63" s="17"/>
    </row>
    <row r="64" spans="1:8" ht="15.75" customHeight="1" x14ac:dyDescent="0.25">
      <c r="A64" s="17"/>
      <c r="B64" s="17"/>
      <c r="C64" s="17"/>
      <c r="D64" s="17"/>
      <c r="E64" s="17"/>
      <c r="F64" s="17"/>
      <c r="G64" s="17"/>
      <c r="H64" s="17"/>
    </row>
    <row r="65" spans="1:8" ht="15.75" customHeight="1" x14ac:dyDescent="0.25">
      <c r="A65" s="17"/>
      <c r="B65" s="17"/>
      <c r="C65" s="17"/>
      <c r="D65" s="17"/>
      <c r="E65" s="17"/>
      <c r="F65" s="17"/>
      <c r="G65" s="17"/>
      <c r="H65" s="17"/>
    </row>
    <row r="66" spans="1:8" ht="15.75" customHeight="1" x14ac:dyDescent="0.25">
      <c r="A66" s="17"/>
      <c r="B66" s="17"/>
      <c r="C66" s="17"/>
      <c r="D66" s="17"/>
      <c r="E66" s="17"/>
      <c r="F66" s="17"/>
      <c r="G66" s="17"/>
      <c r="H66" s="17"/>
    </row>
    <row r="67" spans="1:8" ht="15.75" customHeight="1" x14ac:dyDescent="0.25">
      <c r="A67" s="17"/>
      <c r="B67" s="17"/>
      <c r="C67" s="17"/>
      <c r="D67" s="17"/>
      <c r="E67" s="17"/>
      <c r="F67" s="17"/>
      <c r="G67" s="17"/>
      <c r="H67" s="17"/>
    </row>
    <row r="68" spans="1:8" ht="15.75" customHeight="1" x14ac:dyDescent="0.25">
      <c r="A68" s="17"/>
      <c r="B68" s="17"/>
      <c r="C68" s="17"/>
      <c r="D68" s="17"/>
      <c r="E68" s="17"/>
      <c r="F68" s="17"/>
      <c r="G68" s="17"/>
      <c r="H68" s="17"/>
    </row>
    <row r="69" spans="1:8" ht="15.75" customHeight="1" x14ac:dyDescent="0.25">
      <c r="A69" s="17"/>
      <c r="B69" s="17"/>
      <c r="C69" s="17"/>
      <c r="D69" s="17"/>
      <c r="E69" s="17"/>
      <c r="F69" s="17"/>
      <c r="G69" s="17"/>
      <c r="H69" s="17"/>
    </row>
    <row r="70" spans="1:8" ht="15.75" customHeight="1" x14ac:dyDescent="0.25">
      <c r="A70" s="17"/>
      <c r="B70" s="17"/>
      <c r="C70" s="17"/>
      <c r="D70" s="17"/>
      <c r="E70" s="17"/>
      <c r="F70" s="17"/>
      <c r="G70" s="17"/>
      <c r="H70" s="17"/>
    </row>
    <row r="71" spans="1:8" ht="15.75" customHeight="1" x14ac:dyDescent="0.25">
      <c r="A71" s="17"/>
      <c r="B71" s="17"/>
      <c r="C71" s="17"/>
      <c r="D71" s="17"/>
      <c r="E71" s="17"/>
      <c r="F71" s="17"/>
      <c r="G71" s="17"/>
      <c r="H71" s="17"/>
    </row>
    <row r="72" spans="1:8" ht="15.75" customHeight="1" x14ac:dyDescent="0.25">
      <c r="A72" s="17"/>
      <c r="B72" s="17"/>
      <c r="C72" s="17"/>
      <c r="D72" s="17"/>
      <c r="E72" s="17"/>
      <c r="F72" s="17"/>
      <c r="G72" s="17"/>
      <c r="H72" s="17"/>
    </row>
    <row r="73" spans="1:8" ht="15.75" customHeight="1" x14ac:dyDescent="0.25">
      <c r="A73" s="17"/>
      <c r="B73" s="17"/>
      <c r="C73" s="17"/>
      <c r="D73" s="17"/>
      <c r="E73" s="17"/>
      <c r="F73" s="17"/>
      <c r="G73" s="17"/>
      <c r="H73" s="17"/>
    </row>
    <row r="74" spans="1:8" ht="15.75" customHeight="1" x14ac:dyDescent="0.25">
      <c r="A74" s="17"/>
      <c r="B74" s="17"/>
      <c r="C74" s="17"/>
      <c r="D74" s="17"/>
      <c r="E74" s="17"/>
      <c r="F74" s="17"/>
      <c r="G74" s="17"/>
      <c r="H74" s="17"/>
    </row>
    <row r="75" spans="1:8" ht="15.75" customHeight="1" x14ac:dyDescent="0.25">
      <c r="A75" s="17"/>
      <c r="B75" s="17"/>
      <c r="C75" s="17"/>
      <c r="D75" s="17"/>
      <c r="E75" s="17"/>
      <c r="F75" s="17"/>
      <c r="G75" s="17"/>
      <c r="H75" s="17"/>
    </row>
    <row r="76" spans="1:8" ht="15.75" customHeight="1" x14ac:dyDescent="0.25">
      <c r="A76" s="17"/>
      <c r="B76" s="17"/>
      <c r="C76" s="17"/>
      <c r="D76" s="17"/>
      <c r="E76" s="17"/>
      <c r="F76" s="17"/>
      <c r="G76" s="17"/>
      <c r="H76" s="17"/>
    </row>
    <row r="77" spans="1:8" ht="15.75" customHeight="1" x14ac:dyDescent="0.25">
      <c r="A77" s="17"/>
      <c r="B77" s="17"/>
      <c r="C77" s="17"/>
      <c r="D77" s="17"/>
      <c r="E77" s="17"/>
      <c r="F77" s="17"/>
      <c r="G77" s="17"/>
      <c r="H77" s="17"/>
    </row>
    <row r="78" spans="1:8" ht="15.75" customHeight="1" x14ac:dyDescent="0.25">
      <c r="A78" s="17"/>
      <c r="B78" s="17"/>
      <c r="C78" s="17"/>
      <c r="D78" s="17"/>
      <c r="E78" s="17"/>
      <c r="F78" s="17"/>
      <c r="G78" s="17"/>
      <c r="H78" s="17"/>
    </row>
    <row r="79" spans="1:8" ht="15.75" customHeight="1" x14ac:dyDescent="0.25">
      <c r="A79" s="17"/>
      <c r="B79" s="17"/>
      <c r="C79" s="17"/>
      <c r="D79" s="17"/>
      <c r="E79" s="17"/>
      <c r="F79" s="17"/>
      <c r="G79" s="17"/>
      <c r="H79" s="17"/>
    </row>
    <row r="80" spans="1:8" ht="15.75" customHeight="1" x14ac:dyDescent="0.25">
      <c r="A80" s="17"/>
      <c r="B80" s="17"/>
      <c r="C80" s="17"/>
      <c r="D80" s="17"/>
      <c r="E80" s="17"/>
      <c r="F80" s="17"/>
      <c r="G80" s="17"/>
      <c r="H80" s="17"/>
    </row>
    <row r="81" spans="1:8" ht="15.75" customHeight="1" x14ac:dyDescent="0.25">
      <c r="A81" s="17"/>
      <c r="B81" s="17"/>
      <c r="C81" s="17"/>
      <c r="D81" s="17"/>
      <c r="E81" s="17"/>
      <c r="F81" s="17"/>
      <c r="G81" s="17"/>
      <c r="H81" s="17"/>
    </row>
    <row r="82" spans="1:8" ht="15.75" customHeight="1" x14ac:dyDescent="0.25">
      <c r="A82" s="17"/>
      <c r="B82" s="17"/>
      <c r="C82" s="17"/>
      <c r="D82" s="17"/>
      <c r="E82" s="17"/>
      <c r="F82" s="17"/>
      <c r="G82" s="17"/>
      <c r="H82" s="17"/>
    </row>
    <row r="83" spans="1:8" ht="15.75" customHeight="1" x14ac:dyDescent="0.25">
      <c r="A83" s="17"/>
      <c r="B83" s="17"/>
      <c r="C83" s="17"/>
      <c r="D83" s="17"/>
      <c r="E83" s="17"/>
      <c r="F83" s="17"/>
      <c r="G83" s="17"/>
      <c r="H83" s="17"/>
    </row>
    <row r="84" spans="1:8" ht="15.75" customHeight="1" x14ac:dyDescent="0.25">
      <c r="A84" s="17"/>
      <c r="B84" s="17"/>
      <c r="C84" s="17"/>
      <c r="D84" s="17"/>
      <c r="E84" s="17"/>
      <c r="F84" s="17"/>
      <c r="G84" s="17"/>
      <c r="H84" s="17"/>
    </row>
    <row r="85" spans="1:8" ht="15.75" customHeight="1" x14ac:dyDescent="0.25">
      <c r="A85" s="17"/>
      <c r="B85" s="17"/>
      <c r="C85" s="17"/>
      <c r="D85" s="17"/>
      <c r="E85" s="17"/>
      <c r="F85" s="17"/>
      <c r="G85" s="17"/>
      <c r="H85" s="17"/>
    </row>
    <row r="86" spans="1:8" ht="15.75" customHeight="1" x14ac:dyDescent="0.25">
      <c r="A86" s="17"/>
      <c r="B86" s="17"/>
      <c r="C86" s="17"/>
      <c r="D86" s="17"/>
      <c r="E86" s="17"/>
      <c r="F86" s="17"/>
      <c r="G86" s="17"/>
      <c r="H86" s="17"/>
    </row>
    <row r="87" spans="1:8" ht="15.75" customHeight="1" x14ac:dyDescent="0.25">
      <c r="A87" s="17"/>
      <c r="B87" s="17"/>
      <c r="C87" s="17"/>
      <c r="D87" s="17"/>
      <c r="E87" s="17"/>
      <c r="F87" s="17"/>
      <c r="G87" s="17"/>
      <c r="H87" s="17"/>
    </row>
    <row r="88" spans="1:8" ht="15.75" customHeight="1" x14ac:dyDescent="0.25">
      <c r="A88" s="17"/>
      <c r="B88" s="17"/>
      <c r="C88" s="17"/>
      <c r="D88" s="17"/>
      <c r="E88" s="17"/>
      <c r="F88" s="17"/>
      <c r="G88" s="17"/>
      <c r="H88" s="17"/>
    </row>
    <row r="89" spans="1:8" ht="15.75" customHeight="1" x14ac:dyDescent="0.25">
      <c r="A89" s="17"/>
      <c r="B89" s="17"/>
      <c r="C89" s="17"/>
      <c r="D89" s="17"/>
      <c r="E89" s="17"/>
      <c r="F89" s="17"/>
      <c r="G89" s="17"/>
      <c r="H89" s="17"/>
    </row>
    <row r="90" spans="1:8" ht="15.75" customHeight="1" x14ac:dyDescent="0.25">
      <c r="A90" s="17"/>
      <c r="B90" s="17"/>
      <c r="C90" s="17"/>
      <c r="D90" s="17"/>
      <c r="E90" s="17"/>
      <c r="F90" s="17"/>
      <c r="G90" s="17"/>
      <c r="H90" s="17"/>
    </row>
    <row r="91" spans="1:8" ht="15.75" customHeight="1" x14ac:dyDescent="0.25">
      <c r="A91" s="17"/>
      <c r="B91" s="17"/>
      <c r="C91" s="17"/>
      <c r="D91" s="17"/>
      <c r="E91" s="17"/>
      <c r="F91" s="17"/>
      <c r="G91" s="17"/>
      <c r="H91" s="17"/>
    </row>
    <row r="92" spans="1:8" ht="15.75" customHeight="1" x14ac:dyDescent="0.25">
      <c r="A92" s="17"/>
      <c r="B92" s="17"/>
      <c r="C92" s="17"/>
      <c r="D92" s="17"/>
      <c r="E92" s="17"/>
      <c r="F92" s="17"/>
      <c r="G92" s="17"/>
      <c r="H92" s="17"/>
    </row>
    <row r="93" spans="1:8" ht="15.75" customHeight="1" x14ac:dyDescent="0.25">
      <c r="A93" s="17"/>
      <c r="B93" s="17"/>
      <c r="C93" s="17"/>
      <c r="D93" s="17"/>
      <c r="E93" s="17"/>
      <c r="F93" s="17"/>
      <c r="G93" s="17"/>
      <c r="H93" s="17"/>
    </row>
    <row r="94" spans="1:8" ht="15.75" customHeight="1" x14ac:dyDescent="0.25">
      <c r="A94" s="17"/>
      <c r="B94" s="17"/>
      <c r="C94" s="17"/>
      <c r="D94" s="17"/>
      <c r="E94" s="17"/>
      <c r="F94" s="17"/>
      <c r="G94" s="17"/>
      <c r="H94" s="17"/>
    </row>
    <row r="95" spans="1:8" ht="15.75" customHeight="1" x14ac:dyDescent="0.25">
      <c r="A95" s="17"/>
      <c r="B95" s="17"/>
      <c r="C95" s="17"/>
      <c r="D95" s="17"/>
      <c r="E95" s="17"/>
      <c r="F95" s="17"/>
      <c r="G95" s="17"/>
      <c r="H95" s="17"/>
    </row>
    <row r="96" spans="1:8" ht="15.75" customHeight="1" x14ac:dyDescent="0.25">
      <c r="A96" s="17"/>
      <c r="B96" s="17"/>
      <c r="C96" s="17"/>
      <c r="D96" s="17"/>
      <c r="E96" s="17"/>
      <c r="F96" s="17"/>
      <c r="G96" s="17"/>
      <c r="H96" s="17"/>
    </row>
    <row r="97" spans="1:8" ht="15.75" customHeight="1" x14ac:dyDescent="0.25">
      <c r="A97" s="17"/>
      <c r="B97" s="17"/>
      <c r="C97" s="17"/>
      <c r="D97" s="17"/>
      <c r="E97" s="17"/>
      <c r="F97" s="17"/>
      <c r="G97" s="17"/>
      <c r="H97" s="17"/>
    </row>
    <row r="98" spans="1:8" ht="15.75" customHeight="1" x14ac:dyDescent="0.25">
      <c r="A98" s="17"/>
      <c r="B98" s="17"/>
      <c r="C98" s="17"/>
      <c r="D98" s="17"/>
      <c r="E98" s="17"/>
      <c r="F98" s="17"/>
      <c r="G98" s="17"/>
      <c r="H98" s="17"/>
    </row>
    <row r="99" spans="1:8" ht="15.75" customHeight="1" x14ac:dyDescent="0.25">
      <c r="A99" s="17"/>
      <c r="B99" s="17"/>
      <c r="C99" s="17"/>
      <c r="D99" s="17"/>
      <c r="E99" s="17"/>
      <c r="F99" s="17"/>
      <c r="G99" s="17"/>
      <c r="H99" s="17"/>
    </row>
    <row r="100" spans="1:8" ht="15.75" customHeight="1" x14ac:dyDescent="0.25">
      <c r="A100" s="17"/>
      <c r="B100" s="17"/>
      <c r="C100" s="17"/>
      <c r="D100" s="17"/>
      <c r="E100" s="17"/>
      <c r="F100" s="17"/>
      <c r="G100" s="17"/>
      <c r="H100" s="17"/>
    </row>
  </sheetData>
  <mergeCells count="19">
    <mergeCell ref="A1:H1"/>
    <mergeCell ref="A2:B2"/>
    <mergeCell ref="C2:D2"/>
    <mergeCell ref="E2:F2"/>
    <mergeCell ref="G2:H2"/>
    <mergeCell ref="A5:H5"/>
    <mergeCell ref="A32:D32"/>
    <mergeCell ref="A33:D33"/>
    <mergeCell ref="A34:D34"/>
    <mergeCell ref="C3:D3"/>
    <mergeCell ref="A17:D17"/>
    <mergeCell ref="A18:D18"/>
    <mergeCell ref="A19:D19"/>
    <mergeCell ref="A21:H21"/>
    <mergeCell ref="A29:D29"/>
    <mergeCell ref="A31:H31"/>
    <mergeCell ref="E3:F3"/>
    <mergeCell ref="G3:H3"/>
    <mergeCell ref="A3:B3"/>
  </mergeCells>
  <pageMargins left="0.75" right="0.75" top="1" bottom="1" header="0" footer="0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2E86AB"/>
  </sheetPr>
  <dimension ref="A1:H100"/>
  <sheetViews>
    <sheetView workbookViewId="0">
      <selection sqref="A1:H1"/>
    </sheetView>
  </sheetViews>
  <sheetFormatPr defaultColWidth="14.42578125" defaultRowHeight="15" customHeight="1" x14ac:dyDescent="0.25"/>
  <cols>
    <col min="1" max="1" width="10" customWidth="1"/>
    <col min="2" max="2" width="26" customWidth="1"/>
    <col min="3" max="7" width="16" customWidth="1"/>
    <col min="8" max="8" width="20" customWidth="1"/>
  </cols>
  <sheetData>
    <row r="1" spans="1:8" ht="27.75" customHeight="1" x14ac:dyDescent="0.25">
      <c r="A1" s="163" t="s">
        <v>201</v>
      </c>
      <c r="B1" s="146"/>
      <c r="C1" s="146"/>
      <c r="D1" s="146"/>
      <c r="E1" s="146"/>
      <c r="F1" s="146"/>
      <c r="G1" s="146"/>
      <c r="H1" s="147"/>
    </row>
    <row r="2" spans="1:8" ht="18" customHeight="1" x14ac:dyDescent="0.25">
      <c r="A2" s="164" t="s">
        <v>34</v>
      </c>
      <c r="B2" s="147"/>
      <c r="C2" s="164" t="s">
        <v>35</v>
      </c>
      <c r="D2" s="147"/>
      <c r="E2" s="164" t="s">
        <v>36</v>
      </c>
      <c r="F2" s="147"/>
      <c r="G2" s="164" t="s">
        <v>37</v>
      </c>
      <c r="H2" s="147"/>
    </row>
    <row r="3" spans="1:8" ht="21.75" customHeight="1" x14ac:dyDescent="0.25">
      <c r="A3" s="162">
        <f>E29</f>
        <v>4275</v>
      </c>
      <c r="B3" s="147"/>
      <c r="C3" s="154">
        <f>E19</f>
        <v>3080</v>
      </c>
      <c r="D3" s="147"/>
      <c r="E3" s="160">
        <f>E29-E19</f>
        <v>1195</v>
      </c>
      <c r="F3" s="147"/>
      <c r="G3" s="161">
        <f>IF(E29&gt;0,(E29-E19)/E29,0)</f>
        <v>0.27953216374269008</v>
      </c>
      <c r="H3" s="147"/>
    </row>
    <row r="4" spans="1:8" ht="14.25" customHeight="1" x14ac:dyDescent="0.25">
      <c r="A4" s="17"/>
      <c r="B4" s="17"/>
      <c r="C4" s="17"/>
      <c r="D4" s="17"/>
      <c r="E4" s="17"/>
      <c r="F4" s="17"/>
      <c r="G4" s="17"/>
      <c r="H4" s="17"/>
    </row>
    <row r="5" spans="1:8" ht="19.5" customHeight="1" x14ac:dyDescent="0.25">
      <c r="A5" s="150" t="s">
        <v>202</v>
      </c>
      <c r="B5" s="146"/>
      <c r="C5" s="146"/>
      <c r="D5" s="146"/>
      <c r="E5" s="146"/>
      <c r="F5" s="146"/>
      <c r="G5" s="146"/>
      <c r="H5" s="147"/>
    </row>
    <row r="6" spans="1:8" ht="15" customHeight="1" x14ac:dyDescent="0.25">
      <c r="A6" s="36" t="s">
        <v>22</v>
      </c>
      <c r="B6" s="36" t="s">
        <v>39</v>
      </c>
      <c r="C6" s="36" t="s">
        <v>40</v>
      </c>
      <c r="D6" s="36" t="s">
        <v>41</v>
      </c>
      <c r="E6" s="36" t="s">
        <v>42</v>
      </c>
      <c r="F6" s="36" t="s">
        <v>43</v>
      </c>
      <c r="G6" s="36" t="s">
        <v>44</v>
      </c>
      <c r="H6" s="36"/>
    </row>
    <row r="7" spans="1:8" ht="15" customHeight="1" x14ac:dyDescent="0.25">
      <c r="A7" s="37" t="s">
        <v>203</v>
      </c>
      <c r="B7" s="38" t="s">
        <v>46</v>
      </c>
      <c r="C7" s="37" t="s">
        <v>167</v>
      </c>
      <c r="D7" s="37" t="s">
        <v>48</v>
      </c>
      <c r="E7" s="39">
        <v>86</v>
      </c>
      <c r="F7" s="37"/>
      <c r="G7" s="37"/>
      <c r="H7" s="37"/>
    </row>
    <row r="8" spans="1:8" ht="15" customHeight="1" x14ac:dyDescent="0.25">
      <c r="A8" s="40" t="s">
        <v>203</v>
      </c>
      <c r="B8" s="41" t="s">
        <v>49</v>
      </c>
      <c r="C8" s="40"/>
      <c r="D8" s="40" t="s">
        <v>50</v>
      </c>
      <c r="E8" s="42">
        <v>216</v>
      </c>
      <c r="F8" s="40"/>
      <c r="G8" s="40"/>
      <c r="H8" s="40"/>
    </row>
    <row r="9" spans="1:8" ht="15" customHeight="1" x14ac:dyDescent="0.25">
      <c r="A9" s="37" t="s">
        <v>203</v>
      </c>
      <c r="B9" s="38" t="s">
        <v>51</v>
      </c>
      <c r="C9" s="37"/>
      <c r="D9" s="37" t="s">
        <v>50</v>
      </c>
      <c r="E9" s="39">
        <v>230</v>
      </c>
      <c r="F9" s="37"/>
      <c r="G9" s="37"/>
      <c r="H9" s="37"/>
    </row>
    <row r="10" spans="1:8" ht="15" customHeight="1" x14ac:dyDescent="0.25">
      <c r="A10" s="40" t="s">
        <v>203</v>
      </c>
      <c r="B10" s="41" t="s">
        <v>52</v>
      </c>
      <c r="C10" s="40"/>
      <c r="D10" s="40" t="s">
        <v>50</v>
      </c>
      <c r="E10" s="42">
        <v>95</v>
      </c>
      <c r="F10" s="40"/>
      <c r="G10" s="40"/>
      <c r="H10" s="40"/>
    </row>
    <row r="11" spans="1:8" ht="15" customHeight="1" x14ac:dyDescent="0.25">
      <c r="A11" s="37" t="s">
        <v>203</v>
      </c>
      <c r="B11" s="38" t="s">
        <v>53</v>
      </c>
      <c r="C11" s="37"/>
      <c r="D11" s="37" t="s">
        <v>50</v>
      </c>
      <c r="E11" s="39">
        <v>120</v>
      </c>
      <c r="F11" s="37"/>
      <c r="G11" s="37"/>
      <c r="H11" s="37"/>
    </row>
    <row r="12" spans="1:8" ht="15" customHeight="1" x14ac:dyDescent="0.25">
      <c r="A12" s="40" t="s">
        <v>203</v>
      </c>
      <c r="B12" s="41" t="s">
        <v>54</v>
      </c>
      <c r="C12" s="40"/>
      <c r="D12" s="40" t="s">
        <v>50</v>
      </c>
      <c r="E12" s="42">
        <v>288</v>
      </c>
      <c r="F12" s="40"/>
      <c r="G12" s="40"/>
      <c r="H12" s="40"/>
    </row>
    <row r="13" spans="1:8" ht="15" customHeight="1" x14ac:dyDescent="0.25">
      <c r="A13" s="37" t="s">
        <v>203</v>
      </c>
      <c r="B13" s="38" t="s">
        <v>55</v>
      </c>
      <c r="C13" s="37"/>
      <c r="D13" s="37" t="s">
        <v>50</v>
      </c>
      <c r="E13" s="39">
        <v>135</v>
      </c>
      <c r="F13" s="37"/>
      <c r="G13" s="37"/>
      <c r="H13" s="37"/>
    </row>
    <row r="14" spans="1:8" ht="15" customHeight="1" x14ac:dyDescent="0.25">
      <c r="A14" s="40" t="s">
        <v>203</v>
      </c>
      <c r="B14" s="40" t="s">
        <v>126</v>
      </c>
      <c r="C14" s="31"/>
      <c r="D14" s="40" t="s">
        <v>50</v>
      </c>
      <c r="E14" s="107">
        <f>'💳 Empréstimo'!F25</f>
        <v>560</v>
      </c>
      <c r="F14" s="31"/>
      <c r="G14" s="40" t="s">
        <v>204</v>
      </c>
      <c r="H14" s="31"/>
    </row>
    <row r="15" spans="1:8" ht="15" customHeight="1" x14ac:dyDescent="0.25">
      <c r="A15" s="31"/>
      <c r="B15" s="31"/>
      <c r="C15" s="31"/>
      <c r="D15" s="31"/>
      <c r="E15" s="29"/>
      <c r="F15" s="31"/>
      <c r="G15" s="31"/>
      <c r="H15" s="31"/>
    </row>
    <row r="16" spans="1:8" ht="15" customHeight="1" x14ac:dyDescent="0.25">
      <c r="A16" s="31"/>
      <c r="B16" s="31"/>
      <c r="C16" s="31"/>
      <c r="D16" s="31"/>
      <c r="E16" s="29"/>
      <c r="F16" s="31"/>
      <c r="G16" s="31"/>
      <c r="H16" s="31"/>
    </row>
    <row r="17" spans="1:8" ht="15" customHeight="1" x14ac:dyDescent="0.25">
      <c r="A17" s="155" t="s">
        <v>56</v>
      </c>
      <c r="B17" s="152"/>
      <c r="C17" s="152"/>
      <c r="D17" s="153"/>
      <c r="E17" s="43">
        <f>SUM(E7:E16)</f>
        <v>1730</v>
      </c>
      <c r="F17" s="44"/>
      <c r="G17" s="44"/>
      <c r="H17" s="44"/>
    </row>
    <row r="18" spans="1:8" ht="15" customHeight="1" x14ac:dyDescent="0.25">
      <c r="A18" s="156" t="s">
        <v>57</v>
      </c>
      <c r="B18" s="152"/>
      <c r="C18" s="152"/>
      <c r="D18" s="153"/>
      <c r="E18" s="45">
        <v>1350</v>
      </c>
      <c r="F18" s="44"/>
      <c r="G18" s="44"/>
      <c r="H18" s="44"/>
    </row>
    <row r="19" spans="1:8" ht="15" customHeight="1" x14ac:dyDescent="0.25">
      <c r="A19" s="157" t="s">
        <v>58</v>
      </c>
      <c r="B19" s="152"/>
      <c r="C19" s="152"/>
      <c r="D19" s="153"/>
      <c r="E19" s="46">
        <f>E17+E18</f>
        <v>3080</v>
      </c>
      <c r="F19" s="47"/>
      <c r="G19" s="47"/>
      <c r="H19" s="47"/>
    </row>
    <row r="20" spans="1:8" ht="14.25" customHeight="1" x14ac:dyDescent="0.25">
      <c r="A20" s="17"/>
      <c r="B20" s="17"/>
      <c r="C20" s="17"/>
      <c r="D20" s="17"/>
      <c r="E20" s="17"/>
      <c r="F20" s="17"/>
      <c r="G20" s="17"/>
      <c r="H20" s="17"/>
    </row>
    <row r="21" spans="1:8" ht="19.5" customHeight="1" x14ac:dyDescent="0.25">
      <c r="A21" s="158" t="s">
        <v>205</v>
      </c>
      <c r="B21" s="146"/>
      <c r="C21" s="146"/>
      <c r="D21" s="146"/>
      <c r="E21" s="146"/>
      <c r="F21" s="146"/>
      <c r="G21" s="146"/>
      <c r="H21" s="147"/>
    </row>
    <row r="22" spans="1:8" ht="15" customHeight="1" x14ac:dyDescent="0.25">
      <c r="A22" s="48" t="s">
        <v>22</v>
      </c>
      <c r="B22" s="48" t="s">
        <v>39</v>
      </c>
      <c r="C22" s="48" t="s">
        <v>40</v>
      </c>
      <c r="D22" s="48" t="s">
        <v>41</v>
      </c>
      <c r="E22" s="48" t="s">
        <v>42</v>
      </c>
      <c r="F22" s="48" t="s">
        <v>60</v>
      </c>
      <c r="G22" s="48" t="s">
        <v>44</v>
      </c>
      <c r="H22" s="48"/>
    </row>
    <row r="23" spans="1:8" ht="15" customHeight="1" x14ac:dyDescent="0.25">
      <c r="A23" s="49" t="s">
        <v>203</v>
      </c>
      <c r="B23" s="50" t="s">
        <v>61</v>
      </c>
      <c r="C23" s="49" t="s">
        <v>62</v>
      </c>
      <c r="D23" s="49" t="s">
        <v>50</v>
      </c>
      <c r="E23" s="51">
        <v>1475</v>
      </c>
      <c r="F23" s="49"/>
      <c r="G23" s="49"/>
      <c r="H23" s="49"/>
    </row>
    <row r="24" spans="1:8" ht="15" customHeight="1" x14ac:dyDescent="0.25">
      <c r="A24" s="52" t="s">
        <v>203</v>
      </c>
      <c r="B24" s="53" t="s">
        <v>63</v>
      </c>
      <c r="C24" s="52" t="s">
        <v>62</v>
      </c>
      <c r="D24" s="52" t="s">
        <v>50</v>
      </c>
      <c r="E24" s="54">
        <v>1300</v>
      </c>
      <c r="F24" s="52"/>
      <c r="G24" s="52"/>
      <c r="H24" s="52"/>
    </row>
    <row r="25" spans="1:8" ht="15" customHeight="1" x14ac:dyDescent="0.25">
      <c r="A25" s="49" t="s">
        <v>203</v>
      </c>
      <c r="B25" s="50" t="s">
        <v>64</v>
      </c>
      <c r="C25" s="49" t="s">
        <v>62</v>
      </c>
      <c r="D25" s="49" t="s">
        <v>50</v>
      </c>
      <c r="E25" s="51">
        <v>1500</v>
      </c>
      <c r="F25" s="49"/>
      <c r="G25" s="49"/>
      <c r="H25" s="49"/>
    </row>
    <row r="26" spans="1:8" ht="15" customHeight="1" x14ac:dyDescent="0.25">
      <c r="A26" s="52"/>
      <c r="B26" s="53"/>
      <c r="C26" s="52"/>
      <c r="D26" s="52"/>
      <c r="E26" s="54"/>
      <c r="F26" s="52"/>
      <c r="G26" s="52"/>
      <c r="H26" s="52"/>
    </row>
    <row r="27" spans="1:8" ht="15" customHeight="1" x14ac:dyDescent="0.25">
      <c r="A27" s="55"/>
      <c r="B27" s="55"/>
      <c r="C27" s="55"/>
      <c r="D27" s="55"/>
      <c r="E27" s="56"/>
      <c r="F27" s="55"/>
      <c r="G27" s="55"/>
      <c r="H27" s="55"/>
    </row>
    <row r="28" spans="1:8" ht="15" customHeight="1" x14ac:dyDescent="0.25">
      <c r="A28" s="55"/>
      <c r="B28" s="55"/>
      <c r="C28" s="55"/>
      <c r="D28" s="55"/>
      <c r="E28" s="56"/>
      <c r="F28" s="55"/>
      <c r="G28" s="55"/>
      <c r="H28" s="55"/>
    </row>
    <row r="29" spans="1:8" ht="15" customHeight="1" x14ac:dyDescent="0.25">
      <c r="A29" s="157" t="s">
        <v>66</v>
      </c>
      <c r="B29" s="152"/>
      <c r="C29" s="152"/>
      <c r="D29" s="153"/>
      <c r="E29" s="46">
        <f>SUM(E23:E28)</f>
        <v>4275</v>
      </c>
      <c r="F29" s="47"/>
      <c r="G29" s="47"/>
      <c r="H29" s="47"/>
    </row>
    <row r="30" spans="1:8" ht="15.75" customHeight="1" x14ac:dyDescent="0.25">
      <c r="A30" s="17"/>
      <c r="B30" s="17"/>
      <c r="C30" s="17"/>
      <c r="D30" s="17"/>
      <c r="E30" s="17"/>
      <c r="F30" s="17"/>
      <c r="G30" s="17"/>
      <c r="H30" s="17"/>
    </row>
    <row r="31" spans="1:8" ht="19.5" customHeight="1" x14ac:dyDescent="0.25">
      <c r="A31" s="159" t="s">
        <v>67</v>
      </c>
      <c r="B31" s="146"/>
      <c r="C31" s="146"/>
      <c r="D31" s="146"/>
      <c r="E31" s="146"/>
      <c r="F31" s="146"/>
      <c r="G31" s="146"/>
      <c r="H31" s="147"/>
    </row>
    <row r="32" spans="1:8" ht="15" customHeight="1" x14ac:dyDescent="0.25">
      <c r="A32" s="151" t="s">
        <v>68</v>
      </c>
      <c r="B32" s="152"/>
      <c r="C32" s="152"/>
      <c r="D32" s="153"/>
      <c r="E32" s="57">
        <f>E29-E19</f>
        <v>1195</v>
      </c>
      <c r="F32" s="58"/>
      <c r="G32" s="58"/>
      <c r="H32" s="58"/>
    </row>
    <row r="33" spans="1:8" ht="15" customHeight="1" x14ac:dyDescent="0.25">
      <c r="A33" s="151" t="s">
        <v>76</v>
      </c>
      <c r="B33" s="152"/>
      <c r="C33" s="152"/>
      <c r="D33" s="153"/>
      <c r="E33" s="57">
        <f>0.7*(E29-E19)</f>
        <v>836.5</v>
      </c>
      <c r="F33" s="58"/>
      <c r="G33" s="58"/>
      <c r="H33" s="58"/>
    </row>
    <row r="34" spans="1:8" ht="15" customHeight="1" x14ac:dyDescent="0.25">
      <c r="A34" s="151" t="s">
        <v>70</v>
      </c>
      <c r="B34" s="152"/>
      <c r="C34" s="152"/>
      <c r="D34" s="153"/>
      <c r="E34" s="57">
        <f>E19/6</f>
        <v>513.33333333333337</v>
      </c>
      <c r="F34" s="58"/>
      <c r="G34" s="58"/>
      <c r="H34" s="58"/>
    </row>
    <row r="35" spans="1:8" ht="15.75" customHeight="1" x14ac:dyDescent="0.25">
      <c r="A35" s="17"/>
      <c r="B35" s="17"/>
      <c r="C35" s="17"/>
      <c r="D35" s="17"/>
      <c r="E35" s="17"/>
      <c r="F35" s="17"/>
      <c r="G35" s="17"/>
      <c r="H35" s="17"/>
    </row>
    <row r="36" spans="1:8" ht="15.75" customHeight="1" x14ac:dyDescent="0.25">
      <c r="A36" s="17"/>
      <c r="B36" s="17"/>
      <c r="C36" s="17"/>
      <c r="D36" s="17"/>
      <c r="E36" s="17"/>
      <c r="F36" s="17"/>
      <c r="G36" s="17"/>
      <c r="H36" s="17"/>
    </row>
    <row r="37" spans="1:8" ht="15.75" customHeight="1" x14ac:dyDescent="0.25">
      <c r="A37" s="17"/>
      <c r="B37" s="17"/>
      <c r="C37" s="17"/>
      <c r="D37" s="17"/>
      <c r="E37" s="17"/>
      <c r="F37" s="17"/>
      <c r="G37" s="17"/>
      <c r="H37" s="17"/>
    </row>
    <row r="38" spans="1:8" ht="15.75" customHeight="1" x14ac:dyDescent="0.25">
      <c r="A38" s="17"/>
      <c r="B38" s="17"/>
      <c r="C38" s="17"/>
      <c r="D38" s="17"/>
      <c r="E38" s="17"/>
      <c r="F38" s="17"/>
      <c r="G38" s="17"/>
      <c r="H38" s="17"/>
    </row>
    <row r="39" spans="1:8" ht="15.75" customHeight="1" x14ac:dyDescent="0.25">
      <c r="A39" s="17"/>
      <c r="B39" s="17"/>
      <c r="C39" s="17"/>
      <c r="D39" s="17"/>
      <c r="E39" s="17"/>
      <c r="F39" s="17"/>
      <c r="G39" s="17"/>
      <c r="H39" s="17"/>
    </row>
    <row r="40" spans="1:8" ht="15.75" customHeight="1" x14ac:dyDescent="0.25">
      <c r="A40" s="17"/>
      <c r="B40" s="17"/>
      <c r="C40" s="17"/>
      <c r="D40" s="17"/>
      <c r="E40" s="17"/>
      <c r="F40" s="17"/>
      <c r="G40" s="17"/>
      <c r="H40" s="17"/>
    </row>
    <row r="41" spans="1:8" ht="15.75" customHeight="1" x14ac:dyDescent="0.25">
      <c r="A41" s="17"/>
      <c r="B41" s="17"/>
      <c r="C41" s="17"/>
      <c r="D41" s="17"/>
      <c r="E41" s="17"/>
      <c r="F41" s="17"/>
      <c r="G41" s="17"/>
      <c r="H41" s="17"/>
    </row>
    <row r="42" spans="1:8" ht="15.75" customHeight="1" x14ac:dyDescent="0.25">
      <c r="A42" s="17"/>
      <c r="B42" s="17"/>
      <c r="C42" s="17"/>
      <c r="D42" s="17"/>
      <c r="E42" s="17"/>
      <c r="F42" s="17"/>
      <c r="G42" s="17"/>
      <c r="H42" s="17"/>
    </row>
    <row r="43" spans="1:8" ht="15.75" customHeight="1" x14ac:dyDescent="0.25">
      <c r="A43" s="17"/>
      <c r="B43" s="17"/>
      <c r="C43" s="17"/>
      <c r="D43" s="17"/>
      <c r="E43" s="17"/>
      <c r="F43" s="17"/>
      <c r="G43" s="17"/>
      <c r="H43" s="17"/>
    </row>
    <row r="44" spans="1:8" ht="15.75" customHeight="1" x14ac:dyDescent="0.25">
      <c r="A44" s="17"/>
      <c r="B44" s="17"/>
      <c r="C44" s="17"/>
      <c r="D44" s="17"/>
      <c r="E44" s="17"/>
      <c r="F44" s="17"/>
      <c r="G44" s="17"/>
      <c r="H44" s="17"/>
    </row>
    <row r="45" spans="1:8" ht="15.75" customHeight="1" x14ac:dyDescent="0.25">
      <c r="A45" s="17"/>
      <c r="B45" s="17"/>
      <c r="C45" s="17"/>
      <c r="D45" s="17"/>
      <c r="E45" s="17"/>
      <c r="F45" s="17"/>
      <c r="G45" s="17"/>
      <c r="H45" s="17"/>
    </row>
    <row r="46" spans="1:8" ht="15.75" customHeight="1" x14ac:dyDescent="0.25">
      <c r="A46" s="17"/>
      <c r="B46" s="17"/>
      <c r="C46" s="17"/>
      <c r="D46" s="17"/>
      <c r="E46" s="17"/>
      <c r="F46" s="17"/>
      <c r="G46" s="17"/>
      <c r="H46" s="17"/>
    </row>
    <row r="47" spans="1:8" ht="15.75" customHeight="1" x14ac:dyDescent="0.25">
      <c r="A47" s="17"/>
      <c r="B47" s="17"/>
      <c r="C47" s="17"/>
      <c r="D47" s="17"/>
      <c r="E47" s="17"/>
      <c r="F47" s="17"/>
      <c r="G47" s="17"/>
      <c r="H47" s="17"/>
    </row>
    <row r="48" spans="1:8" ht="15.75" customHeight="1" x14ac:dyDescent="0.25">
      <c r="A48" s="17"/>
      <c r="B48" s="17"/>
      <c r="C48" s="17"/>
      <c r="D48" s="17"/>
      <c r="E48" s="17"/>
      <c r="F48" s="17"/>
      <c r="G48" s="17"/>
      <c r="H48" s="17"/>
    </row>
    <row r="49" spans="1:8" ht="15.75" customHeight="1" x14ac:dyDescent="0.25">
      <c r="A49" s="17"/>
      <c r="B49" s="17"/>
      <c r="C49" s="17"/>
      <c r="D49" s="17"/>
      <c r="E49" s="17"/>
      <c r="F49" s="17"/>
      <c r="G49" s="17"/>
      <c r="H49" s="17"/>
    </row>
    <row r="50" spans="1:8" ht="15.75" customHeight="1" x14ac:dyDescent="0.25">
      <c r="A50" s="17"/>
      <c r="B50" s="17"/>
      <c r="C50" s="17"/>
      <c r="D50" s="17"/>
      <c r="E50" s="17"/>
      <c r="F50" s="17"/>
      <c r="G50" s="17"/>
      <c r="H50" s="17"/>
    </row>
    <row r="51" spans="1:8" ht="15.75" customHeight="1" x14ac:dyDescent="0.25">
      <c r="A51" s="17"/>
      <c r="B51" s="17"/>
      <c r="C51" s="17"/>
      <c r="D51" s="17"/>
      <c r="E51" s="17"/>
      <c r="F51" s="17"/>
      <c r="G51" s="17"/>
      <c r="H51" s="17"/>
    </row>
    <row r="52" spans="1:8" ht="15.75" customHeight="1" x14ac:dyDescent="0.25">
      <c r="A52" s="17"/>
      <c r="B52" s="17"/>
      <c r="C52" s="17"/>
      <c r="D52" s="17"/>
      <c r="E52" s="17"/>
      <c r="F52" s="17"/>
      <c r="G52" s="17"/>
      <c r="H52" s="17"/>
    </row>
    <row r="53" spans="1:8" ht="15.75" customHeight="1" x14ac:dyDescent="0.25">
      <c r="A53" s="17"/>
      <c r="B53" s="17"/>
      <c r="C53" s="17"/>
      <c r="D53" s="17"/>
      <c r="E53" s="17"/>
      <c r="F53" s="17"/>
      <c r="G53" s="17"/>
      <c r="H53" s="17"/>
    </row>
    <row r="54" spans="1:8" ht="15.75" customHeight="1" x14ac:dyDescent="0.25">
      <c r="A54" s="17"/>
      <c r="B54" s="17"/>
      <c r="C54" s="17"/>
      <c r="D54" s="17"/>
      <c r="E54" s="17"/>
      <c r="F54" s="17"/>
      <c r="G54" s="17"/>
      <c r="H54" s="17"/>
    </row>
    <row r="55" spans="1:8" ht="15.75" customHeight="1" x14ac:dyDescent="0.25">
      <c r="A55" s="17"/>
      <c r="B55" s="17"/>
      <c r="C55" s="17"/>
      <c r="D55" s="17"/>
      <c r="E55" s="17"/>
      <c r="F55" s="17"/>
      <c r="G55" s="17"/>
      <c r="H55" s="17"/>
    </row>
    <row r="56" spans="1:8" ht="15.75" customHeight="1" x14ac:dyDescent="0.25">
      <c r="A56" s="17"/>
      <c r="B56" s="17"/>
      <c r="C56" s="17"/>
      <c r="D56" s="17"/>
      <c r="E56" s="17"/>
      <c r="F56" s="17"/>
      <c r="G56" s="17"/>
      <c r="H56" s="17"/>
    </row>
    <row r="57" spans="1:8" ht="15.75" customHeight="1" x14ac:dyDescent="0.25">
      <c r="A57" s="17"/>
      <c r="B57" s="17"/>
      <c r="C57" s="17"/>
      <c r="D57" s="17"/>
      <c r="E57" s="17"/>
      <c r="F57" s="17"/>
      <c r="G57" s="17"/>
      <c r="H57" s="17"/>
    </row>
    <row r="58" spans="1:8" ht="15.75" customHeight="1" x14ac:dyDescent="0.25">
      <c r="A58" s="17"/>
      <c r="B58" s="17"/>
      <c r="C58" s="17"/>
      <c r="D58" s="17"/>
      <c r="E58" s="17"/>
      <c r="F58" s="17"/>
      <c r="G58" s="17"/>
      <c r="H58" s="17"/>
    </row>
    <row r="59" spans="1:8" ht="15.75" customHeight="1" x14ac:dyDescent="0.25">
      <c r="A59" s="17"/>
      <c r="B59" s="17"/>
      <c r="C59" s="17"/>
      <c r="D59" s="17"/>
      <c r="E59" s="17"/>
      <c r="F59" s="17"/>
      <c r="G59" s="17"/>
      <c r="H59" s="17"/>
    </row>
    <row r="60" spans="1:8" ht="15.75" customHeight="1" x14ac:dyDescent="0.25">
      <c r="A60" s="17"/>
      <c r="B60" s="17"/>
      <c r="C60" s="17"/>
      <c r="D60" s="17"/>
      <c r="E60" s="17"/>
      <c r="F60" s="17"/>
      <c r="G60" s="17"/>
      <c r="H60" s="17"/>
    </row>
    <row r="61" spans="1:8" ht="15.75" customHeight="1" x14ac:dyDescent="0.25">
      <c r="A61" s="17"/>
      <c r="B61" s="17"/>
      <c r="C61" s="17"/>
      <c r="D61" s="17"/>
      <c r="E61" s="17"/>
      <c r="F61" s="17"/>
      <c r="G61" s="17"/>
      <c r="H61" s="17"/>
    </row>
    <row r="62" spans="1:8" ht="15.75" customHeight="1" x14ac:dyDescent="0.25">
      <c r="A62" s="17"/>
      <c r="B62" s="17"/>
      <c r="C62" s="17"/>
      <c r="D62" s="17"/>
      <c r="E62" s="17"/>
      <c r="F62" s="17"/>
      <c r="G62" s="17"/>
      <c r="H62" s="17"/>
    </row>
    <row r="63" spans="1:8" ht="15.75" customHeight="1" x14ac:dyDescent="0.25">
      <c r="A63" s="17"/>
      <c r="B63" s="17"/>
      <c r="C63" s="17"/>
      <c r="D63" s="17"/>
      <c r="E63" s="17"/>
      <c r="F63" s="17"/>
      <c r="G63" s="17"/>
      <c r="H63" s="17"/>
    </row>
    <row r="64" spans="1:8" ht="15.75" customHeight="1" x14ac:dyDescent="0.25">
      <c r="A64" s="17"/>
      <c r="B64" s="17"/>
      <c r="C64" s="17"/>
      <c r="D64" s="17"/>
      <c r="E64" s="17"/>
      <c r="F64" s="17"/>
      <c r="G64" s="17"/>
      <c r="H64" s="17"/>
    </row>
    <row r="65" spans="1:8" ht="15.75" customHeight="1" x14ac:dyDescent="0.25">
      <c r="A65" s="17"/>
      <c r="B65" s="17"/>
      <c r="C65" s="17"/>
      <c r="D65" s="17"/>
      <c r="E65" s="17"/>
      <c r="F65" s="17"/>
      <c r="G65" s="17"/>
      <c r="H65" s="17"/>
    </row>
    <row r="66" spans="1:8" ht="15.75" customHeight="1" x14ac:dyDescent="0.25">
      <c r="A66" s="17"/>
      <c r="B66" s="17"/>
      <c r="C66" s="17"/>
      <c r="D66" s="17"/>
      <c r="E66" s="17"/>
      <c r="F66" s="17"/>
      <c r="G66" s="17"/>
      <c r="H66" s="17"/>
    </row>
    <row r="67" spans="1:8" ht="15.75" customHeight="1" x14ac:dyDescent="0.25">
      <c r="A67" s="17"/>
      <c r="B67" s="17"/>
      <c r="C67" s="17"/>
      <c r="D67" s="17"/>
      <c r="E67" s="17"/>
      <c r="F67" s="17"/>
      <c r="G67" s="17"/>
      <c r="H67" s="17"/>
    </row>
    <row r="68" spans="1:8" ht="15.75" customHeight="1" x14ac:dyDescent="0.25">
      <c r="A68" s="17"/>
      <c r="B68" s="17"/>
      <c r="C68" s="17"/>
      <c r="D68" s="17"/>
      <c r="E68" s="17"/>
      <c r="F68" s="17"/>
      <c r="G68" s="17"/>
      <c r="H68" s="17"/>
    </row>
    <row r="69" spans="1:8" ht="15.75" customHeight="1" x14ac:dyDescent="0.25">
      <c r="A69" s="17"/>
      <c r="B69" s="17"/>
      <c r="C69" s="17"/>
      <c r="D69" s="17"/>
      <c r="E69" s="17"/>
      <c r="F69" s="17"/>
      <c r="G69" s="17"/>
      <c r="H69" s="17"/>
    </row>
    <row r="70" spans="1:8" ht="15.75" customHeight="1" x14ac:dyDescent="0.25">
      <c r="A70" s="17"/>
      <c r="B70" s="17"/>
      <c r="C70" s="17"/>
      <c r="D70" s="17"/>
      <c r="E70" s="17"/>
      <c r="F70" s="17"/>
      <c r="G70" s="17"/>
      <c r="H70" s="17"/>
    </row>
    <row r="71" spans="1:8" ht="15.75" customHeight="1" x14ac:dyDescent="0.25">
      <c r="A71" s="17"/>
      <c r="B71" s="17"/>
      <c r="C71" s="17"/>
      <c r="D71" s="17"/>
      <c r="E71" s="17"/>
      <c r="F71" s="17"/>
      <c r="G71" s="17"/>
      <c r="H71" s="17"/>
    </row>
    <row r="72" spans="1:8" ht="15.75" customHeight="1" x14ac:dyDescent="0.25">
      <c r="A72" s="17"/>
      <c r="B72" s="17"/>
      <c r="C72" s="17"/>
      <c r="D72" s="17"/>
      <c r="E72" s="17"/>
      <c r="F72" s="17"/>
      <c r="G72" s="17"/>
      <c r="H72" s="17"/>
    </row>
    <row r="73" spans="1:8" ht="15.75" customHeight="1" x14ac:dyDescent="0.25">
      <c r="A73" s="17"/>
      <c r="B73" s="17"/>
      <c r="C73" s="17"/>
      <c r="D73" s="17"/>
      <c r="E73" s="17"/>
      <c r="F73" s="17"/>
      <c r="G73" s="17"/>
      <c r="H73" s="17"/>
    </row>
    <row r="74" spans="1:8" ht="15.75" customHeight="1" x14ac:dyDescent="0.25">
      <c r="A74" s="17"/>
      <c r="B74" s="17"/>
      <c r="C74" s="17"/>
      <c r="D74" s="17"/>
      <c r="E74" s="17"/>
      <c r="F74" s="17"/>
      <c r="G74" s="17"/>
      <c r="H74" s="17"/>
    </row>
    <row r="75" spans="1:8" ht="15.75" customHeight="1" x14ac:dyDescent="0.25">
      <c r="A75" s="17"/>
      <c r="B75" s="17"/>
      <c r="C75" s="17"/>
      <c r="D75" s="17"/>
      <c r="E75" s="17"/>
      <c r="F75" s="17"/>
      <c r="G75" s="17"/>
      <c r="H75" s="17"/>
    </row>
    <row r="76" spans="1:8" ht="15.75" customHeight="1" x14ac:dyDescent="0.25">
      <c r="A76" s="17"/>
      <c r="B76" s="17"/>
      <c r="C76" s="17"/>
      <c r="D76" s="17"/>
      <c r="E76" s="17"/>
      <c r="F76" s="17"/>
      <c r="G76" s="17"/>
      <c r="H76" s="17"/>
    </row>
    <row r="77" spans="1:8" ht="15.75" customHeight="1" x14ac:dyDescent="0.25">
      <c r="A77" s="17"/>
      <c r="B77" s="17"/>
      <c r="C77" s="17"/>
      <c r="D77" s="17"/>
      <c r="E77" s="17"/>
      <c r="F77" s="17"/>
      <c r="G77" s="17"/>
      <c r="H77" s="17"/>
    </row>
    <row r="78" spans="1:8" ht="15.75" customHeight="1" x14ac:dyDescent="0.25">
      <c r="A78" s="17"/>
      <c r="B78" s="17"/>
      <c r="C78" s="17"/>
      <c r="D78" s="17"/>
      <c r="E78" s="17"/>
      <c r="F78" s="17"/>
      <c r="G78" s="17"/>
      <c r="H78" s="17"/>
    </row>
    <row r="79" spans="1:8" ht="15.75" customHeight="1" x14ac:dyDescent="0.25">
      <c r="A79" s="17"/>
      <c r="B79" s="17"/>
      <c r="C79" s="17"/>
      <c r="D79" s="17"/>
      <c r="E79" s="17"/>
      <c r="F79" s="17"/>
      <c r="G79" s="17"/>
      <c r="H79" s="17"/>
    </row>
    <row r="80" spans="1:8" ht="15.75" customHeight="1" x14ac:dyDescent="0.25">
      <c r="A80" s="17"/>
      <c r="B80" s="17"/>
      <c r="C80" s="17"/>
      <c r="D80" s="17"/>
      <c r="E80" s="17"/>
      <c r="F80" s="17"/>
      <c r="G80" s="17"/>
      <c r="H80" s="17"/>
    </row>
    <row r="81" spans="1:8" ht="15.75" customHeight="1" x14ac:dyDescent="0.25">
      <c r="A81" s="17"/>
      <c r="B81" s="17"/>
      <c r="C81" s="17"/>
      <c r="D81" s="17"/>
      <c r="E81" s="17"/>
      <c r="F81" s="17"/>
      <c r="G81" s="17"/>
      <c r="H81" s="17"/>
    </row>
    <row r="82" spans="1:8" ht="15.75" customHeight="1" x14ac:dyDescent="0.25">
      <c r="A82" s="17"/>
      <c r="B82" s="17"/>
      <c r="C82" s="17"/>
      <c r="D82" s="17"/>
      <c r="E82" s="17"/>
      <c r="F82" s="17"/>
      <c r="G82" s="17"/>
      <c r="H82" s="17"/>
    </row>
    <row r="83" spans="1:8" ht="15.75" customHeight="1" x14ac:dyDescent="0.25">
      <c r="A83" s="17"/>
      <c r="B83" s="17"/>
      <c r="C83" s="17"/>
      <c r="D83" s="17"/>
      <c r="E83" s="17"/>
      <c r="F83" s="17"/>
      <c r="G83" s="17"/>
      <c r="H83" s="17"/>
    </row>
    <row r="84" spans="1:8" ht="15.75" customHeight="1" x14ac:dyDescent="0.25">
      <c r="A84" s="17"/>
      <c r="B84" s="17"/>
      <c r="C84" s="17"/>
      <c r="D84" s="17"/>
      <c r="E84" s="17"/>
      <c r="F84" s="17"/>
      <c r="G84" s="17"/>
      <c r="H84" s="17"/>
    </row>
    <row r="85" spans="1:8" ht="15.75" customHeight="1" x14ac:dyDescent="0.25">
      <c r="A85" s="17"/>
      <c r="B85" s="17"/>
      <c r="C85" s="17"/>
      <c r="D85" s="17"/>
      <c r="E85" s="17"/>
      <c r="F85" s="17"/>
      <c r="G85" s="17"/>
      <c r="H85" s="17"/>
    </row>
    <row r="86" spans="1:8" ht="15.75" customHeight="1" x14ac:dyDescent="0.25">
      <c r="A86" s="17"/>
      <c r="B86" s="17"/>
      <c r="C86" s="17"/>
      <c r="D86" s="17"/>
      <c r="E86" s="17"/>
      <c r="F86" s="17"/>
      <c r="G86" s="17"/>
      <c r="H86" s="17"/>
    </row>
    <row r="87" spans="1:8" ht="15.75" customHeight="1" x14ac:dyDescent="0.25">
      <c r="A87" s="17"/>
      <c r="B87" s="17"/>
      <c r="C87" s="17"/>
      <c r="D87" s="17"/>
      <c r="E87" s="17"/>
      <c r="F87" s="17"/>
      <c r="G87" s="17"/>
      <c r="H87" s="17"/>
    </row>
    <row r="88" spans="1:8" ht="15.75" customHeight="1" x14ac:dyDescent="0.25">
      <c r="A88" s="17"/>
      <c r="B88" s="17"/>
      <c r="C88" s="17"/>
      <c r="D88" s="17"/>
      <c r="E88" s="17"/>
      <c r="F88" s="17"/>
      <c r="G88" s="17"/>
      <c r="H88" s="17"/>
    </row>
    <row r="89" spans="1:8" ht="15.75" customHeight="1" x14ac:dyDescent="0.25">
      <c r="A89" s="17"/>
      <c r="B89" s="17"/>
      <c r="C89" s="17"/>
      <c r="D89" s="17"/>
      <c r="E89" s="17"/>
      <c r="F89" s="17"/>
      <c r="G89" s="17"/>
      <c r="H89" s="17"/>
    </row>
    <row r="90" spans="1:8" ht="15.75" customHeight="1" x14ac:dyDescent="0.25">
      <c r="A90" s="17"/>
      <c r="B90" s="17"/>
      <c r="C90" s="17"/>
      <c r="D90" s="17"/>
      <c r="E90" s="17"/>
      <c r="F90" s="17"/>
      <c r="G90" s="17"/>
      <c r="H90" s="17"/>
    </row>
    <row r="91" spans="1:8" ht="15.75" customHeight="1" x14ac:dyDescent="0.25">
      <c r="A91" s="17"/>
      <c r="B91" s="17"/>
      <c r="C91" s="17"/>
      <c r="D91" s="17"/>
      <c r="E91" s="17"/>
      <c r="F91" s="17"/>
      <c r="G91" s="17"/>
      <c r="H91" s="17"/>
    </row>
    <row r="92" spans="1:8" ht="15.75" customHeight="1" x14ac:dyDescent="0.25">
      <c r="A92" s="17"/>
      <c r="B92" s="17"/>
      <c r="C92" s="17"/>
      <c r="D92" s="17"/>
      <c r="E92" s="17"/>
      <c r="F92" s="17"/>
      <c r="G92" s="17"/>
      <c r="H92" s="17"/>
    </row>
    <row r="93" spans="1:8" ht="15.75" customHeight="1" x14ac:dyDescent="0.25">
      <c r="A93" s="17"/>
      <c r="B93" s="17"/>
      <c r="C93" s="17"/>
      <c r="D93" s="17"/>
      <c r="E93" s="17"/>
      <c r="F93" s="17"/>
      <c r="G93" s="17"/>
      <c r="H93" s="17"/>
    </row>
    <row r="94" spans="1:8" ht="15.75" customHeight="1" x14ac:dyDescent="0.25">
      <c r="A94" s="17"/>
      <c r="B94" s="17"/>
      <c r="C94" s="17"/>
      <c r="D94" s="17"/>
      <c r="E94" s="17"/>
      <c r="F94" s="17"/>
      <c r="G94" s="17"/>
      <c r="H94" s="17"/>
    </row>
    <row r="95" spans="1:8" ht="15.75" customHeight="1" x14ac:dyDescent="0.25">
      <c r="A95" s="17"/>
      <c r="B95" s="17"/>
      <c r="C95" s="17"/>
      <c r="D95" s="17"/>
      <c r="E95" s="17"/>
      <c r="F95" s="17"/>
      <c r="G95" s="17"/>
      <c r="H95" s="17"/>
    </row>
    <row r="96" spans="1:8" ht="15.75" customHeight="1" x14ac:dyDescent="0.25">
      <c r="A96" s="17"/>
      <c r="B96" s="17"/>
      <c r="C96" s="17"/>
      <c r="D96" s="17"/>
      <c r="E96" s="17"/>
      <c r="F96" s="17"/>
      <c r="G96" s="17"/>
      <c r="H96" s="17"/>
    </row>
    <row r="97" spans="1:8" ht="15.75" customHeight="1" x14ac:dyDescent="0.25">
      <c r="A97" s="17"/>
      <c r="B97" s="17"/>
      <c r="C97" s="17"/>
      <c r="D97" s="17"/>
      <c r="E97" s="17"/>
      <c r="F97" s="17"/>
      <c r="G97" s="17"/>
      <c r="H97" s="17"/>
    </row>
    <row r="98" spans="1:8" ht="15.75" customHeight="1" x14ac:dyDescent="0.25">
      <c r="A98" s="17"/>
      <c r="B98" s="17"/>
      <c r="C98" s="17"/>
      <c r="D98" s="17"/>
      <c r="E98" s="17"/>
      <c r="F98" s="17"/>
      <c r="G98" s="17"/>
      <c r="H98" s="17"/>
    </row>
    <row r="99" spans="1:8" ht="15.75" customHeight="1" x14ac:dyDescent="0.25">
      <c r="A99" s="17"/>
      <c r="B99" s="17"/>
      <c r="C99" s="17"/>
      <c r="D99" s="17"/>
      <c r="E99" s="17"/>
      <c r="F99" s="17"/>
      <c r="G99" s="17"/>
      <c r="H99" s="17"/>
    </row>
    <row r="100" spans="1:8" ht="15.75" customHeight="1" x14ac:dyDescent="0.25">
      <c r="A100" s="17"/>
      <c r="B100" s="17"/>
      <c r="C100" s="17"/>
      <c r="D100" s="17"/>
      <c r="E100" s="17"/>
      <c r="F100" s="17"/>
      <c r="G100" s="17"/>
      <c r="H100" s="17"/>
    </row>
  </sheetData>
  <mergeCells count="19">
    <mergeCell ref="A1:H1"/>
    <mergeCell ref="A2:B2"/>
    <mergeCell ref="C2:D2"/>
    <mergeCell ref="E2:F2"/>
    <mergeCell ref="G2:H2"/>
    <mergeCell ref="A5:H5"/>
    <mergeCell ref="A32:D32"/>
    <mergeCell ref="A33:D33"/>
    <mergeCell ref="A34:D34"/>
    <mergeCell ref="C3:D3"/>
    <mergeCell ref="A17:D17"/>
    <mergeCell ref="A18:D18"/>
    <mergeCell ref="A19:D19"/>
    <mergeCell ref="A21:H21"/>
    <mergeCell ref="A29:D29"/>
    <mergeCell ref="A31:H31"/>
    <mergeCell ref="E3:F3"/>
    <mergeCell ref="G3:H3"/>
    <mergeCell ref="A3:B3"/>
  </mergeCells>
  <pageMargins left="0.75" right="0.75" top="1" bottom="1" header="0" footer="0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2E86AB"/>
  </sheetPr>
  <dimension ref="A1:H100"/>
  <sheetViews>
    <sheetView workbookViewId="0">
      <selection sqref="A1:H1"/>
    </sheetView>
  </sheetViews>
  <sheetFormatPr defaultColWidth="14.42578125" defaultRowHeight="15" customHeight="1" x14ac:dyDescent="0.25"/>
  <cols>
    <col min="1" max="1" width="10" customWidth="1"/>
    <col min="2" max="2" width="26" customWidth="1"/>
    <col min="3" max="7" width="16" customWidth="1"/>
    <col min="8" max="8" width="20" customWidth="1"/>
  </cols>
  <sheetData>
    <row r="1" spans="1:8" ht="27.75" customHeight="1" x14ac:dyDescent="0.25">
      <c r="A1" s="163" t="s">
        <v>206</v>
      </c>
      <c r="B1" s="146"/>
      <c r="C1" s="146"/>
      <c r="D1" s="146"/>
      <c r="E1" s="146"/>
      <c r="F1" s="146"/>
      <c r="G1" s="146"/>
      <c r="H1" s="147"/>
    </row>
    <row r="2" spans="1:8" ht="18" customHeight="1" x14ac:dyDescent="0.25">
      <c r="A2" s="164" t="s">
        <v>34</v>
      </c>
      <c r="B2" s="147"/>
      <c r="C2" s="164" t="s">
        <v>35</v>
      </c>
      <c r="D2" s="147"/>
      <c r="E2" s="164" t="s">
        <v>36</v>
      </c>
      <c r="F2" s="147"/>
      <c r="G2" s="164" t="s">
        <v>37</v>
      </c>
      <c r="H2" s="147"/>
    </row>
    <row r="3" spans="1:8" ht="21.75" customHeight="1" x14ac:dyDescent="0.25">
      <c r="A3" s="162">
        <f>E29</f>
        <v>4275</v>
      </c>
      <c r="B3" s="147"/>
      <c r="C3" s="154">
        <f>E19</f>
        <v>3080</v>
      </c>
      <c r="D3" s="147"/>
      <c r="E3" s="160">
        <f>E29-E19</f>
        <v>1195</v>
      </c>
      <c r="F3" s="147"/>
      <c r="G3" s="161">
        <f>IF(E29&gt;0,(E29-E19)/E29,0)</f>
        <v>0.27953216374269008</v>
      </c>
      <c r="H3" s="147"/>
    </row>
    <row r="4" spans="1:8" ht="14.25" customHeight="1" x14ac:dyDescent="0.25">
      <c r="A4" s="17"/>
      <c r="B4" s="17"/>
      <c r="C4" s="17"/>
      <c r="D4" s="17"/>
      <c r="E4" s="17"/>
      <c r="F4" s="17"/>
      <c r="G4" s="17"/>
      <c r="H4" s="17"/>
    </row>
    <row r="5" spans="1:8" ht="19.5" customHeight="1" x14ac:dyDescent="0.25">
      <c r="A5" s="150" t="s">
        <v>207</v>
      </c>
      <c r="B5" s="146"/>
      <c r="C5" s="146"/>
      <c r="D5" s="146"/>
      <c r="E5" s="146"/>
      <c r="F5" s="146"/>
      <c r="G5" s="146"/>
      <c r="H5" s="147"/>
    </row>
    <row r="6" spans="1:8" ht="15" customHeight="1" x14ac:dyDescent="0.25">
      <c r="A6" s="36" t="s">
        <v>22</v>
      </c>
      <c r="B6" s="36" t="s">
        <v>39</v>
      </c>
      <c r="C6" s="36" t="s">
        <v>40</v>
      </c>
      <c r="D6" s="36" t="s">
        <v>41</v>
      </c>
      <c r="E6" s="36" t="s">
        <v>42</v>
      </c>
      <c r="F6" s="36" t="s">
        <v>43</v>
      </c>
      <c r="G6" s="36" t="s">
        <v>44</v>
      </c>
      <c r="H6" s="36"/>
    </row>
    <row r="7" spans="1:8" ht="15" customHeight="1" x14ac:dyDescent="0.25">
      <c r="A7" s="37" t="s">
        <v>208</v>
      </c>
      <c r="B7" s="38" t="s">
        <v>46</v>
      </c>
      <c r="C7" s="37" t="s">
        <v>167</v>
      </c>
      <c r="D7" s="37" t="s">
        <v>48</v>
      </c>
      <c r="E7" s="39">
        <v>86</v>
      </c>
      <c r="F7" s="37"/>
      <c r="G7" s="37"/>
      <c r="H7" s="37"/>
    </row>
    <row r="8" spans="1:8" ht="15" customHeight="1" x14ac:dyDescent="0.25">
      <c r="A8" s="40" t="s">
        <v>208</v>
      </c>
      <c r="B8" s="41" t="s">
        <v>49</v>
      </c>
      <c r="C8" s="40"/>
      <c r="D8" s="40" t="s">
        <v>50</v>
      </c>
      <c r="E8" s="42">
        <v>216</v>
      </c>
      <c r="F8" s="40"/>
      <c r="G8" s="40"/>
      <c r="H8" s="40"/>
    </row>
    <row r="9" spans="1:8" ht="15" customHeight="1" x14ac:dyDescent="0.25">
      <c r="A9" s="37" t="s">
        <v>208</v>
      </c>
      <c r="B9" s="38" t="s">
        <v>51</v>
      </c>
      <c r="C9" s="37"/>
      <c r="D9" s="37" t="s">
        <v>50</v>
      </c>
      <c r="E9" s="39">
        <v>230</v>
      </c>
      <c r="F9" s="37"/>
      <c r="G9" s="37"/>
      <c r="H9" s="37"/>
    </row>
    <row r="10" spans="1:8" ht="15" customHeight="1" x14ac:dyDescent="0.25">
      <c r="A10" s="40" t="s">
        <v>208</v>
      </c>
      <c r="B10" s="41" t="s">
        <v>52</v>
      </c>
      <c r="C10" s="40"/>
      <c r="D10" s="40" t="s">
        <v>50</v>
      </c>
      <c r="E10" s="42">
        <v>95</v>
      </c>
      <c r="F10" s="40"/>
      <c r="G10" s="40"/>
      <c r="H10" s="40"/>
    </row>
    <row r="11" spans="1:8" ht="15" customHeight="1" x14ac:dyDescent="0.25">
      <c r="A11" s="37" t="s">
        <v>208</v>
      </c>
      <c r="B11" s="38" t="s">
        <v>53</v>
      </c>
      <c r="C11" s="37"/>
      <c r="D11" s="37" t="s">
        <v>50</v>
      </c>
      <c r="E11" s="39">
        <v>120</v>
      </c>
      <c r="F11" s="37"/>
      <c r="G11" s="37"/>
      <c r="H11" s="37"/>
    </row>
    <row r="12" spans="1:8" ht="15" customHeight="1" x14ac:dyDescent="0.25">
      <c r="A12" s="40" t="s">
        <v>208</v>
      </c>
      <c r="B12" s="41" t="s">
        <v>54</v>
      </c>
      <c r="C12" s="40"/>
      <c r="D12" s="40" t="s">
        <v>50</v>
      </c>
      <c r="E12" s="42">
        <v>288</v>
      </c>
      <c r="F12" s="40"/>
      <c r="G12" s="40"/>
      <c r="H12" s="40"/>
    </row>
    <row r="13" spans="1:8" ht="15" customHeight="1" x14ac:dyDescent="0.25">
      <c r="A13" s="37" t="s">
        <v>208</v>
      </c>
      <c r="B13" s="38" t="s">
        <v>55</v>
      </c>
      <c r="C13" s="37"/>
      <c r="D13" s="37" t="s">
        <v>50</v>
      </c>
      <c r="E13" s="39">
        <v>135</v>
      </c>
      <c r="F13" s="37"/>
      <c r="G13" s="37"/>
      <c r="H13" s="37"/>
    </row>
    <row r="14" spans="1:8" ht="15" customHeight="1" x14ac:dyDescent="0.25">
      <c r="A14" s="40" t="s">
        <v>208</v>
      </c>
      <c r="B14" s="40" t="s">
        <v>126</v>
      </c>
      <c r="C14" s="31"/>
      <c r="D14" s="40" t="s">
        <v>50</v>
      </c>
      <c r="E14" s="107">
        <f>'💳 Empréstimo'!F26</f>
        <v>560</v>
      </c>
      <c r="F14" s="31"/>
      <c r="G14" s="40" t="s">
        <v>209</v>
      </c>
      <c r="H14" s="31"/>
    </row>
    <row r="15" spans="1:8" ht="15" customHeight="1" x14ac:dyDescent="0.25">
      <c r="A15" s="31"/>
      <c r="B15" s="31"/>
      <c r="C15" s="31"/>
      <c r="D15" s="31"/>
      <c r="E15" s="29"/>
      <c r="F15" s="31"/>
      <c r="G15" s="31"/>
      <c r="H15" s="31"/>
    </row>
    <row r="16" spans="1:8" ht="15" customHeight="1" x14ac:dyDescent="0.25">
      <c r="A16" s="31"/>
      <c r="B16" s="31"/>
      <c r="C16" s="31"/>
      <c r="D16" s="31"/>
      <c r="E16" s="29"/>
      <c r="F16" s="31"/>
      <c r="G16" s="31"/>
      <c r="H16" s="31"/>
    </row>
    <row r="17" spans="1:8" ht="15" customHeight="1" x14ac:dyDescent="0.25">
      <c r="A17" s="155" t="s">
        <v>56</v>
      </c>
      <c r="B17" s="152"/>
      <c r="C17" s="152"/>
      <c r="D17" s="153"/>
      <c r="E17" s="43">
        <f>SUM(E7:E16)</f>
        <v>1730</v>
      </c>
      <c r="F17" s="44"/>
      <c r="G17" s="44"/>
      <c r="H17" s="44"/>
    </row>
    <row r="18" spans="1:8" ht="15" customHeight="1" x14ac:dyDescent="0.25">
      <c r="A18" s="156" t="s">
        <v>57</v>
      </c>
      <c r="B18" s="152"/>
      <c r="C18" s="152"/>
      <c r="D18" s="153"/>
      <c r="E18" s="45">
        <v>1350</v>
      </c>
      <c r="F18" s="44"/>
      <c r="G18" s="44"/>
      <c r="H18" s="44"/>
    </row>
    <row r="19" spans="1:8" ht="15" customHeight="1" x14ac:dyDescent="0.25">
      <c r="A19" s="157" t="s">
        <v>58</v>
      </c>
      <c r="B19" s="152"/>
      <c r="C19" s="152"/>
      <c r="D19" s="153"/>
      <c r="E19" s="46">
        <f>E17+E18</f>
        <v>3080</v>
      </c>
      <c r="F19" s="47"/>
      <c r="G19" s="47"/>
      <c r="H19" s="47"/>
    </row>
    <row r="20" spans="1:8" ht="14.25" customHeight="1" x14ac:dyDescent="0.25">
      <c r="A20" s="17"/>
      <c r="B20" s="17"/>
      <c r="C20" s="17"/>
      <c r="D20" s="17"/>
      <c r="E20" s="17"/>
      <c r="F20" s="17"/>
      <c r="G20" s="17"/>
      <c r="H20" s="17"/>
    </row>
    <row r="21" spans="1:8" ht="19.5" customHeight="1" x14ac:dyDescent="0.25">
      <c r="A21" s="158" t="s">
        <v>210</v>
      </c>
      <c r="B21" s="146"/>
      <c r="C21" s="146"/>
      <c r="D21" s="146"/>
      <c r="E21" s="146"/>
      <c r="F21" s="146"/>
      <c r="G21" s="146"/>
      <c r="H21" s="147"/>
    </row>
    <row r="22" spans="1:8" ht="15" customHeight="1" x14ac:dyDescent="0.25">
      <c r="A22" s="48" t="s">
        <v>22</v>
      </c>
      <c r="B22" s="48" t="s">
        <v>39</v>
      </c>
      <c r="C22" s="48" t="s">
        <v>40</v>
      </c>
      <c r="D22" s="48" t="s">
        <v>41</v>
      </c>
      <c r="E22" s="48" t="s">
        <v>42</v>
      </c>
      <c r="F22" s="48" t="s">
        <v>60</v>
      </c>
      <c r="G22" s="48" t="s">
        <v>44</v>
      </c>
      <c r="H22" s="48"/>
    </row>
    <row r="23" spans="1:8" ht="15" customHeight="1" x14ac:dyDescent="0.25">
      <c r="A23" s="49" t="s">
        <v>208</v>
      </c>
      <c r="B23" s="50" t="s">
        <v>61</v>
      </c>
      <c r="C23" s="49" t="s">
        <v>62</v>
      </c>
      <c r="D23" s="49" t="s">
        <v>50</v>
      </c>
      <c r="E23" s="51">
        <v>1475</v>
      </c>
      <c r="F23" s="49"/>
      <c r="G23" s="49"/>
      <c r="H23" s="49"/>
    </row>
    <row r="24" spans="1:8" ht="15" customHeight="1" x14ac:dyDescent="0.25">
      <c r="A24" s="52" t="s">
        <v>208</v>
      </c>
      <c r="B24" s="53" t="s">
        <v>63</v>
      </c>
      <c r="C24" s="52" t="s">
        <v>62</v>
      </c>
      <c r="D24" s="52" t="s">
        <v>50</v>
      </c>
      <c r="E24" s="54">
        <v>1300</v>
      </c>
      <c r="F24" s="52"/>
      <c r="G24" s="52"/>
      <c r="H24" s="52"/>
    </row>
    <row r="25" spans="1:8" ht="15" customHeight="1" x14ac:dyDescent="0.25">
      <c r="A25" s="49" t="s">
        <v>208</v>
      </c>
      <c r="B25" s="50" t="s">
        <v>64</v>
      </c>
      <c r="C25" s="49" t="s">
        <v>62</v>
      </c>
      <c r="D25" s="49" t="s">
        <v>50</v>
      </c>
      <c r="E25" s="51">
        <v>1500</v>
      </c>
      <c r="F25" s="49"/>
      <c r="G25" s="49"/>
      <c r="H25" s="49"/>
    </row>
    <row r="26" spans="1:8" ht="15" customHeight="1" x14ac:dyDescent="0.25">
      <c r="A26" s="52"/>
      <c r="B26" s="53"/>
      <c r="C26" s="52"/>
      <c r="D26" s="52"/>
      <c r="E26" s="54"/>
      <c r="F26" s="52"/>
      <c r="G26" s="52"/>
      <c r="H26" s="52"/>
    </row>
    <row r="27" spans="1:8" ht="15" customHeight="1" x14ac:dyDescent="0.25">
      <c r="A27" s="55"/>
      <c r="B27" s="55"/>
      <c r="C27" s="55"/>
      <c r="D27" s="55"/>
      <c r="E27" s="56"/>
      <c r="F27" s="55"/>
      <c r="G27" s="55"/>
      <c r="H27" s="55"/>
    </row>
    <row r="28" spans="1:8" ht="15" customHeight="1" x14ac:dyDescent="0.25">
      <c r="A28" s="55"/>
      <c r="B28" s="55"/>
      <c r="C28" s="55"/>
      <c r="D28" s="55"/>
      <c r="E28" s="56"/>
      <c r="F28" s="55"/>
      <c r="G28" s="55"/>
      <c r="H28" s="55"/>
    </row>
    <row r="29" spans="1:8" ht="15" customHeight="1" x14ac:dyDescent="0.25">
      <c r="A29" s="157" t="s">
        <v>66</v>
      </c>
      <c r="B29" s="152"/>
      <c r="C29" s="152"/>
      <c r="D29" s="153"/>
      <c r="E29" s="46">
        <f>SUM(E23:E28)</f>
        <v>4275</v>
      </c>
      <c r="F29" s="47"/>
      <c r="G29" s="47"/>
      <c r="H29" s="47"/>
    </row>
    <row r="30" spans="1:8" ht="15.75" customHeight="1" x14ac:dyDescent="0.25">
      <c r="A30" s="17"/>
      <c r="B30" s="17"/>
      <c r="C30" s="17"/>
      <c r="D30" s="17"/>
      <c r="E30" s="17"/>
      <c r="F30" s="17"/>
      <c r="G30" s="17"/>
      <c r="H30" s="17"/>
    </row>
    <row r="31" spans="1:8" ht="19.5" customHeight="1" x14ac:dyDescent="0.25">
      <c r="A31" s="159" t="s">
        <v>67</v>
      </c>
      <c r="B31" s="146"/>
      <c r="C31" s="146"/>
      <c r="D31" s="146"/>
      <c r="E31" s="146"/>
      <c r="F31" s="146"/>
      <c r="G31" s="146"/>
      <c r="H31" s="147"/>
    </row>
    <row r="32" spans="1:8" ht="15" customHeight="1" x14ac:dyDescent="0.25">
      <c r="A32" s="151" t="s">
        <v>68</v>
      </c>
      <c r="B32" s="152"/>
      <c r="C32" s="152"/>
      <c r="D32" s="153"/>
      <c r="E32" s="57">
        <f>E29-E19</f>
        <v>1195</v>
      </c>
      <c r="F32" s="58"/>
      <c r="G32" s="58"/>
      <c r="H32" s="58"/>
    </row>
    <row r="33" spans="1:8" ht="15" customHeight="1" x14ac:dyDescent="0.25">
      <c r="A33" s="151" t="s">
        <v>76</v>
      </c>
      <c r="B33" s="152"/>
      <c r="C33" s="152"/>
      <c r="D33" s="153"/>
      <c r="E33" s="57">
        <f>0.7*(E29-E19)</f>
        <v>836.5</v>
      </c>
      <c r="F33" s="58"/>
      <c r="G33" s="58"/>
      <c r="H33" s="58"/>
    </row>
    <row r="34" spans="1:8" ht="15" customHeight="1" x14ac:dyDescent="0.25">
      <c r="A34" s="151" t="s">
        <v>70</v>
      </c>
      <c r="B34" s="152"/>
      <c r="C34" s="152"/>
      <c r="D34" s="153"/>
      <c r="E34" s="57">
        <f>E19/6</f>
        <v>513.33333333333337</v>
      </c>
      <c r="F34" s="58"/>
      <c r="G34" s="58"/>
      <c r="H34" s="58"/>
    </row>
    <row r="35" spans="1:8" ht="15.75" customHeight="1" x14ac:dyDescent="0.25">
      <c r="A35" s="17"/>
      <c r="B35" s="17"/>
      <c r="C35" s="17"/>
      <c r="D35" s="17"/>
      <c r="E35" s="17"/>
      <c r="F35" s="17"/>
      <c r="G35" s="17"/>
      <c r="H35" s="17"/>
    </row>
    <row r="36" spans="1:8" ht="15.75" customHeight="1" x14ac:dyDescent="0.25">
      <c r="A36" s="17"/>
      <c r="B36" s="17"/>
      <c r="C36" s="17"/>
      <c r="D36" s="17"/>
      <c r="E36" s="17"/>
      <c r="F36" s="17"/>
      <c r="G36" s="17"/>
      <c r="H36" s="17"/>
    </row>
    <row r="37" spans="1:8" ht="15.75" customHeight="1" x14ac:dyDescent="0.25">
      <c r="A37" s="17"/>
      <c r="B37" s="17"/>
      <c r="C37" s="17"/>
      <c r="D37" s="17"/>
      <c r="E37" s="17"/>
      <c r="F37" s="17"/>
      <c r="G37" s="17"/>
      <c r="H37" s="17"/>
    </row>
    <row r="38" spans="1:8" ht="15.75" customHeight="1" x14ac:dyDescent="0.25">
      <c r="A38" s="17"/>
      <c r="B38" s="17"/>
      <c r="C38" s="17"/>
      <c r="D38" s="17"/>
      <c r="E38" s="17"/>
      <c r="F38" s="17"/>
      <c r="G38" s="17"/>
      <c r="H38" s="17"/>
    </row>
    <row r="39" spans="1:8" ht="15.75" customHeight="1" x14ac:dyDescent="0.25">
      <c r="A39" s="17"/>
      <c r="B39" s="17"/>
      <c r="C39" s="17"/>
      <c r="D39" s="17"/>
      <c r="E39" s="17"/>
      <c r="F39" s="17"/>
      <c r="G39" s="17"/>
      <c r="H39" s="17"/>
    </row>
    <row r="40" spans="1:8" ht="15.75" customHeight="1" x14ac:dyDescent="0.25">
      <c r="A40" s="17"/>
      <c r="B40" s="17"/>
      <c r="C40" s="17"/>
      <c r="D40" s="17"/>
      <c r="E40" s="17"/>
      <c r="F40" s="17"/>
      <c r="G40" s="17"/>
      <c r="H40" s="17"/>
    </row>
    <row r="41" spans="1:8" ht="15.75" customHeight="1" x14ac:dyDescent="0.25">
      <c r="A41" s="17"/>
      <c r="B41" s="17"/>
      <c r="C41" s="17"/>
      <c r="D41" s="17"/>
      <c r="E41" s="17"/>
      <c r="F41" s="17"/>
      <c r="G41" s="17"/>
      <c r="H41" s="17"/>
    </row>
    <row r="42" spans="1:8" ht="15.75" customHeight="1" x14ac:dyDescent="0.25">
      <c r="A42" s="17"/>
      <c r="B42" s="17"/>
      <c r="C42" s="17"/>
      <c r="D42" s="17"/>
      <c r="E42" s="17"/>
      <c r="F42" s="17"/>
      <c r="G42" s="17"/>
      <c r="H42" s="17"/>
    </row>
    <row r="43" spans="1:8" ht="15.75" customHeight="1" x14ac:dyDescent="0.25">
      <c r="A43" s="17"/>
      <c r="B43" s="17"/>
      <c r="C43" s="17"/>
      <c r="D43" s="17"/>
      <c r="E43" s="17"/>
      <c r="F43" s="17"/>
      <c r="G43" s="17"/>
      <c r="H43" s="17"/>
    </row>
    <row r="44" spans="1:8" ht="15.75" customHeight="1" x14ac:dyDescent="0.25">
      <c r="A44" s="17"/>
      <c r="B44" s="17"/>
      <c r="C44" s="17"/>
      <c r="D44" s="17"/>
      <c r="E44" s="17"/>
      <c r="F44" s="17"/>
      <c r="G44" s="17"/>
      <c r="H44" s="17"/>
    </row>
    <row r="45" spans="1:8" ht="15.75" customHeight="1" x14ac:dyDescent="0.25">
      <c r="A45" s="17"/>
      <c r="B45" s="17"/>
      <c r="C45" s="17"/>
      <c r="D45" s="17"/>
      <c r="E45" s="17"/>
      <c r="F45" s="17"/>
      <c r="G45" s="17"/>
      <c r="H45" s="17"/>
    </row>
    <row r="46" spans="1:8" ht="15.75" customHeight="1" x14ac:dyDescent="0.25">
      <c r="A46" s="17"/>
      <c r="B46" s="17"/>
      <c r="C46" s="17"/>
      <c r="D46" s="17"/>
      <c r="E46" s="17"/>
      <c r="F46" s="17"/>
      <c r="G46" s="17"/>
      <c r="H46" s="17"/>
    </row>
    <row r="47" spans="1:8" ht="15.75" customHeight="1" x14ac:dyDescent="0.25">
      <c r="A47" s="17"/>
      <c r="B47" s="17"/>
      <c r="C47" s="17"/>
      <c r="D47" s="17"/>
      <c r="E47" s="17"/>
      <c r="F47" s="17"/>
      <c r="G47" s="17"/>
      <c r="H47" s="17"/>
    </row>
    <row r="48" spans="1:8" ht="15.75" customHeight="1" x14ac:dyDescent="0.25">
      <c r="A48" s="17"/>
      <c r="B48" s="17"/>
      <c r="C48" s="17"/>
      <c r="D48" s="17"/>
      <c r="E48" s="17"/>
      <c r="F48" s="17"/>
      <c r="G48" s="17"/>
      <c r="H48" s="17"/>
    </row>
    <row r="49" spans="1:8" ht="15.75" customHeight="1" x14ac:dyDescent="0.25">
      <c r="A49" s="17"/>
      <c r="B49" s="17"/>
      <c r="C49" s="17"/>
      <c r="D49" s="17"/>
      <c r="E49" s="17"/>
      <c r="F49" s="17"/>
      <c r="G49" s="17"/>
      <c r="H49" s="17"/>
    </row>
    <row r="50" spans="1:8" ht="15.75" customHeight="1" x14ac:dyDescent="0.25">
      <c r="A50" s="17"/>
      <c r="B50" s="17"/>
      <c r="C50" s="17"/>
      <c r="D50" s="17"/>
      <c r="E50" s="17"/>
      <c r="F50" s="17"/>
      <c r="G50" s="17"/>
      <c r="H50" s="17"/>
    </row>
    <row r="51" spans="1:8" ht="15.75" customHeight="1" x14ac:dyDescent="0.25">
      <c r="A51" s="17"/>
      <c r="B51" s="17"/>
      <c r="C51" s="17"/>
      <c r="D51" s="17"/>
      <c r="E51" s="17"/>
      <c r="F51" s="17"/>
      <c r="G51" s="17"/>
      <c r="H51" s="17"/>
    </row>
    <row r="52" spans="1:8" ht="15.75" customHeight="1" x14ac:dyDescent="0.25">
      <c r="A52" s="17"/>
      <c r="B52" s="17"/>
      <c r="C52" s="17"/>
      <c r="D52" s="17"/>
      <c r="E52" s="17"/>
      <c r="F52" s="17"/>
      <c r="G52" s="17"/>
      <c r="H52" s="17"/>
    </row>
    <row r="53" spans="1:8" ht="15.75" customHeight="1" x14ac:dyDescent="0.25">
      <c r="A53" s="17"/>
      <c r="B53" s="17"/>
      <c r="C53" s="17"/>
      <c r="D53" s="17"/>
      <c r="E53" s="17"/>
      <c r="F53" s="17"/>
      <c r="G53" s="17"/>
      <c r="H53" s="17"/>
    </row>
    <row r="54" spans="1:8" ht="15.75" customHeight="1" x14ac:dyDescent="0.25">
      <c r="A54" s="17"/>
      <c r="B54" s="17"/>
      <c r="C54" s="17"/>
      <c r="D54" s="17"/>
      <c r="E54" s="17"/>
      <c r="F54" s="17"/>
      <c r="G54" s="17"/>
      <c r="H54" s="17"/>
    </row>
    <row r="55" spans="1:8" ht="15.75" customHeight="1" x14ac:dyDescent="0.25">
      <c r="A55" s="17"/>
      <c r="B55" s="17"/>
      <c r="C55" s="17"/>
      <c r="D55" s="17"/>
      <c r="E55" s="17"/>
      <c r="F55" s="17"/>
      <c r="G55" s="17"/>
      <c r="H55" s="17"/>
    </row>
    <row r="56" spans="1:8" ht="15.75" customHeight="1" x14ac:dyDescent="0.25">
      <c r="A56" s="17"/>
      <c r="B56" s="17"/>
      <c r="C56" s="17"/>
      <c r="D56" s="17"/>
      <c r="E56" s="17"/>
      <c r="F56" s="17"/>
      <c r="G56" s="17"/>
      <c r="H56" s="17"/>
    </row>
    <row r="57" spans="1:8" ht="15.75" customHeight="1" x14ac:dyDescent="0.25">
      <c r="A57" s="17"/>
      <c r="B57" s="17"/>
      <c r="C57" s="17"/>
      <c r="D57" s="17"/>
      <c r="E57" s="17"/>
      <c r="F57" s="17"/>
      <c r="G57" s="17"/>
      <c r="H57" s="17"/>
    </row>
    <row r="58" spans="1:8" ht="15.75" customHeight="1" x14ac:dyDescent="0.25">
      <c r="A58" s="17"/>
      <c r="B58" s="17"/>
      <c r="C58" s="17"/>
      <c r="D58" s="17"/>
      <c r="E58" s="17"/>
      <c r="F58" s="17"/>
      <c r="G58" s="17"/>
      <c r="H58" s="17"/>
    </row>
    <row r="59" spans="1:8" ht="15.75" customHeight="1" x14ac:dyDescent="0.25">
      <c r="A59" s="17"/>
      <c r="B59" s="17"/>
      <c r="C59" s="17"/>
      <c r="D59" s="17"/>
      <c r="E59" s="17"/>
      <c r="F59" s="17"/>
      <c r="G59" s="17"/>
      <c r="H59" s="17"/>
    </row>
    <row r="60" spans="1:8" ht="15.75" customHeight="1" x14ac:dyDescent="0.25">
      <c r="A60" s="17"/>
      <c r="B60" s="17"/>
      <c r="C60" s="17"/>
      <c r="D60" s="17"/>
      <c r="E60" s="17"/>
      <c r="F60" s="17"/>
      <c r="G60" s="17"/>
      <c r="H60" s="17"/>
    </row>
    <row r="61" spans="1:8" ht="15.75" customHeight="1" x14ac:dyDescent="0.25">
      <c r="A61" s="17"/>
      <c r="B61" s="17"/>
      <c r="C61" s="17"/>
      <c r="D61" s="17"/>
      <c r="E61" s="17"/>
      <c r="F61" s="17"/>
      <c r="G61" s="17"/>
      <c r="H61" s="17"/>
    </row>
    <row r="62" spans="1:8" ht="15.75" customHeight="1" x14ac:dyDescent="0.25">
      <c r="A62" s="17"/>
      <c r="B62" s="17"/>
      <c r="C62" s="17"/>
      <c r="D62" s="17"/>
      <c r="E62" s="17"/>
      <c r="F62" s="17"/>
      <c r="G62" s="17"/>
      <c r="H62" s="17"/>
    </row>
    <row r="63" spans="1:8" ht="15.75" customHeight="1" x14ac:dyDescent="0.25">
      <c r="A63" s="17"/>
      <c r="B63" s="17"/>
      <c r="C63" s="17"/>
      <c r="D63" s="17"/>
      <c r="E63" s="17"/>
      <c r="F63" s="17"/>
      <c r="G63" s="17"/>
      <c r="H63" s="17"/>
    </row>
    <row r="64" spans="1:8" ht="15.75" customHeight="1" x14ac:dyDescent="0.25">
      <c r="A64" s="17"/>
      <c r="B64" s="17"/>
      <c r="C64" s="17"/>
      <c r="D64" s="17"/>
      <c r="E64" s="17"/>
      <c r="F64" s="17"/>
      <c r="G64" s="17"/>
      <c r="H64" s="17"/>
    </row>
    <row r="65" spans="1:8" ht="15.75" customHeight="1" x14ac:dyDescent="0.25">
      <c r="A65" s="17"/>
      <c r="B65" s="17"/>
      <c r="C65" s="17"/>
      <c r="D65" s="17"/>
      <c r="E65" s="17"/>
      <c r="F65" s="17"/>
      <c r="G65" s="17"/>
      <c r="H65" s="17"/>
    </row>
    <row r="66" spans="1:8" ht="15.75" customHeight="1" x14ac:dyDescent="0.25">
      <c r="A66" s="17"/>
      <c r="B66" s="17"/>
      <c r="C66" s="17"/>
      <c r="D66" s="17"/>
      <c r="E66" s="17"/>
      <c r="F66" s="17"/>
      <c r="G66" s="17"/>
      <c r="H66" s="17"/>
    </row>
    <row r="67" spans="1:8" ht="15.75" customHeight="1" x14ac:dyDescent="0.25">
      <c r="A67" s="17"/>
      <c r="B67" s="17"/>
      <c r="C67" s="17"/>
      <c r="D67" s="17"/>
      <c r="E67" s="17"/>
      <c r="F67" s="17"/>
      <c r="G67" s="17"/>
      <c r="H67" s="17"/>
    </row>
    <row r="68" spans="1:8" ht="15.75" customHeight="1" x14ac:dyDescent="0.25">
      <c r="A68" s="17"/>
      <c r="B68" s="17"/>
      <c r="C68" s="17"/>
      <c r="D68" s="17"/>
      <c r="E68" s="17"/>
      <c r="F68" s="17"/>
      <c r="G68" s="17"/>
      <c r="H68" s="17"/>
    </row>
    <row r="69" spans="1:8" ht="15.75" customHeight="1" x14ac:dyDescent="0.25">
      <c r="A69" s="17"/>
      <c r="B69" s="17"/>
      <c r="C69" s="17"/>
      <c r="D69" s="17"/>
      <c r="E69" s="17"/>
      <c r="F69" s="17"/>
      <c r="G69" s="17"/>
      <c r="H69" s="17"/>
    </row>
    <row r="70" spans="1:8" ht="15.75" customHeight="1" x14ac:dyDescent="0.25">
      <c r="A70" s="17"/>
      <c r="B70" s="17"/>
      <c r="C70" s="17"/>
      <c r="D70" s="17"/>
      <c r="E70" s="17"/>
      <c r="F70" s="17"/>
      <c r="G70" s="17"/>
      <c r="H70" s="17"/>
    </row>
    <row r="71" spans="1:8" ht="15.75" customHeight="1" x14ac:dyDescent="0.25">
      <c r="A71" s="17"/>
      <c r="B71" s="17"/>
      <c r="C71" s="17"/>
      <c r="D71" s="17"/>
      <c r="E71" s="17"/>
      <c r="F71" s="17"/>
      <c r="G71" s="17"/>
      <c r="H71" s="17"/>
    </row>
    <row r="72" spans="1:8" ht="15.75" customHeight="1" x14ac:dyDescent="0.25">
      <c r="A72" s="17"/>
      <c r="B72" s="17"/>
      <c r="C72" s="17"/>
      <c r="D72" s="17"/>
      <c r="E72" s="17"/>
      <c r="F72" s="17"/>
      <c r="G72" s="17"/>
      <c r="H72" s="17"/>
    </row>
    <row r="73" spans="1:8" ht="15.75" customHeight="1" x14ac:dyDescent="0.25">
      <c r="A73" s="17"/>
      <c r="B73" s="17"/>
      <c r="C73" s="17"/>
      <c r="D73" s="17"/>
      <c r="E73" s="17"/>
      <c r="F73" s="17"/>
      <c r="G73" s="17"/>
      <c r="H73" s="17"/>
    </row>
    <row r="74" spans="1:8" ht="15.75" customHeight="1" x14ac:dyDescent="0.25">
      <c r="A74" s="17"/>
      <c r="B74" s="17"/>
      <c r="C74" s="17"/>
      <c r="D74" s="17"/>
      <c r="E74" s="17"/>
      <c r="F74" s="17"/>
      <c r="G74" s="17"/>
      <c r="H74" s="17"/>
    </row>
    <row r="75" spans="1:8" ht="15.75" customHeight="1" x14ac:dyDescent="0.25">
      <c r="A75" s="17"/>
      <c r="B75" s="17"/>
      <c r="C75" s="17"/>
      <c r="D75" s="17"/>
      <c r="E75" s="17"/>
      <c r="F75" s="17"/>
      <c r="G75" s="17"/>
      <c r="H75" s="17"/>
    </row>
    <row r="76" spans="1:8" ht="15.75" customHeight="1" x14ac:dyDescent="0.25">
      <c r="A76" s="17"/>
      <c r="B76" s="17"/>
      <c r="C76" s="17"/>
      <c r="D76" s="17"/>
      <c r="E76" s="17"/>
      <c r="F76" s="17"/>
      <c r="G76" s="17"/>
      <c r="H76" s="17"/>
    </row>
    <row r="77" spans="1:8" ht="15.75" customHeight="1" x14ac:dyDescent="0.25">
      <c r="A77" s="17"/>
      <c r="B77" s="17"/>
      <c r="C77" s="17"/>
      <c r="D77" s="17"/>
      <c r="E77" s="17"/>
      <c r="F77" s="17"/>
      <c r="G77" s="17"/>
      <c r="H77" s="17"/>
    </row>
    <row r="78" spans="1:8" ht="15.75" customHeight="1" x14ac:dyDescent="0.25">
      <c r="A78" s="17"/>
      <c r="B78" s="17"/>
      <c r="C78" s="17"/>
      <c r="D78" s="17"/>
      <c r="E78" s="17"/>
      <c r="F78" s="17"/>
      <c r="G78" s="17"/>
      <c r="H78" s="17"/>
    </row>
    <row r="79" spans="1:8" ht="15.75" customHeight="1" x14ac:dyDescent="0.25">
      <c r="A79" s="17"/>
      <c r="B79" s="17"/>
      <c r="C79" s="17"/>
      <c r="D79" s="17"/>
      <c r="E79" s="17"/>
      <c r="F79" s="17"/>
      <c r="G79" s="17"/>
      <c r="H79" s="17"/>
    </row>
    <row r="80" spans="1:8" ht="15.75" customHeight="1" x14ac:dyDescent="0.25">
      <c r="A80" s="17"/>
      <c r="B80" s="17"/>
      <c r="C80" s="17"/>
      <c r="D80" s="17"/>
      <c r="E80" s="17"/>
      <c r="F80" s="17"/>
      <c r="G80" s="17"/>
      <c r="H80" s="17"/>
    </row>
    <row r="81" spans="1:8" ht="15.75" customHeight="1" x14ac:dyDescent="0.25">
      <c r="A81" s="17"/>
      <c r="B81" s="17"/>
      <c r="C81" s="17"/>
      <c r="D81" s="17"/>
      <c r="E81" s="17"/>
      <c r="F81" s="17"/>
      <c r="G81" s="17"/>
      <c r="H81" s="17"/>
    </row>
    <row r="82" spans="1:8" ht="15.75" customHeight="1" x14ac:dyDescent="0.25">
      <c r="A82" s="17"/>
      <c r="B82" s="17"/>
      <c r="C82" s="17"/>
      <c r="D82" s="17"/>
      <c r="E82" s="17"/>
      <c r="F82" s="17"/>
      <c r="G82" s="17"/>
      <c r="H82" s="17"/>
    </row>
    <row r="83" spans="1:8" ht="15.75" customHeight="1" x14ac:dyDescent="0.25">
      <c r="A83" s="17"/>
      <c r="B83" s="17"/>
      <c r="C83" s="17"/>
      <c r="D83" s="17"/>
      <c r="E83" s="17"/>
      <c r="F83" s="17"/>
      <c r="G83" s="17"/>
      <c r="H83" s="17"/>
    </row>
    <row r="84" spans="1:8" ht="15.75" customHeight="1" x14ac:dyDescent="0.25">
      <c r="A84" s="17"/>
      <c r="B84" s="17"/>
      <c r="C84" s="17"/>
      <c r="D84" s="17"/>
      <c r="E84" s="17"/>
      <c r="F84" s="17"/>
      <c r="G84" s="17"/>
      <c r="H84" s="17"/>
    </row>
    <row r="85" spans="1:8" ht="15.75" customHeight="1" x14ac:dyDescent="0.25">
      <c r="A85" s="17"/>
      <c r="B85" s="17"/>
      <c r="C85" s="17"/>
      <c r="D85" s="17"/>
      <c r="E85" s="17"/>
      <c r="F85" s="17"/>
      <c r="G85" s="17"/>
      <c r="H85" s="17"/>
    </row>
    <row r="86" spans="1:8" ht="15.75" customHeight="1" x14ac:dyDescent="0.25">
      <c r="A86" s="17"/>
      <c r="B86" s="17"/>
      <c r="C86" s="17"/>
      <c r="D86" s="17"/>
      <c r="E86" s="17"/>
      <c r="F86" s="17"/>
      <c r="G86" s="17"/>
      <c r="H86" s="17"/>
    </row>
    <row r="87" spans="1:8" ht="15.75" customHeight="1" x14ac:dyDescent="0.25">
      <c r="A87" s="17"/>
      <c r="B87" s="17"/>
      <c r="C87" s="17"/>
      <c r="D87" s="17"/>
      <c r="E87" s="17"/>
      <c r="F87" s="17"/>
      <c r="G87" s="17"/>
      <c r="H87" s="17"/>
    </row>
    <row r="88" spans="1:8" ht="15.75" customHeight="1" x14ac:dyDescent="0.25">
      <c r="A88" s="17"/>
      <c r="B88" s="17"/>
      <c r="C88" s="17"/>
      <c r="D88" s="17"/>
      <c r="E88" s="17"/>
      <c r="F88" s="17"/>
      <c r="G88" s="17"/>
      <c r="H88" s="17"/>
    </row>
    <row r="89" spans="1:8" ht="15.75" customHeight="1" x14ac:dyDescent="0.25">
      <c r="A89" s="17"/>
      <c r="B89" s="17"/>
      <c r="C89" s="17"/>
      <c r="D89" s="17"/>
      <c r="E89" s="17"/>
      <c r="F89" s="17"/>
      <c r="G89" s="17"/>
      <c r="H89" s="17"/>
    </row>
    <row r="90" spans="1:8" ht="15.75" customHeight="1" x14ac:dyDescent="0.25">
      <c r="A90" s="17"/>
      <c r="B90" s="17"/>
      <c r="C90" s="17"/>
      <c r="D90" s="17"/>
      <c r="E90" s="17"/>
      <c r="F90" s="17"/>
      <c r="G90" s="17"/>
      <c r="H90" s="17"/>
    </row>
    <row r="91" spans="1:8" ht="15.75" customHeight="1" x14ac:dyDescent="0.25">
      <c r="A91" s="17"/>
      <c r="B91" s="17"/>
      <c r="C91" s="17"/>
      <c r="D91" s="17"/>
      <c r="E91" s="17"/>
      <c r="F91" s="17"/>
      <c r="G91" s="17"/>
      <c r="H91" s="17"/>
    </row>
    <row r="92" spans="1:8" ht="15.75" customHeight="1" x14ac:dyDescent="0.25">
      <c r="A92" s="17"/>
      <c r="B92" s="17"/>
      <c r="C92" s="17"/>
      <c r="D92" s="17"/>
      <c r="E92" s="17"/>
      <c r="F92" s="17"/>
      <c r="G92" s="17"/>
      <c r="H92" s="17"/>
    </row>
    <row r="93" spans="1:8" ht="15.75" customHeight="1" x14ac:dyDescent="0.25">
      <c r="A93" s="17"/>
      <c r="B93" s="17"/>
      <c r="C93" s="17"/>
      <c r="D93" s="17"/>
      <c r="E93" s="17"/>
      <c r="F93" s="17"/>
      <c r="G93" s="17"/>
      <c r="H93" s="17"/>
    </row>
    <row r="94" spans="1:8" ht="15.75" customHeight="1" x14ac:dyDescent="0.25">
      <c r="A94" s="17"/>
      <c r="B94" s="17"/>
      <c r="C94" s="17"/>
      <c r="D94" s="17"/>
      <c r="E94" s="17"/>
      <c r="F94" s="17"/>
      <c r="G94" s="17"/>
      <c r="H94" s="17"/>
    </row>
    <row r="95" spans="1:8" ht="15.75" customHeight="1" x14ac:dyDescent="0.25">
      <c r="A95" s="17"/>
      <c r="B95" s="17"/>
      <c r="C95" s="17"/>
      <c r="D95" s="17"/>
      <c r="E95" s="17"/>
      <c r="F95" s="17"/>
      <c r="G95" s="17"/>
      <c r="H95" s="17"/>
    </row>
    <row r="96" spans="1:8" ht="15.75" customHeight="1" x14ac:dyDescent="0.25">
      <c r="A96" s="17"/>
      <c r="B96" s="17"/>
      <c r="C96" s="17"/>
      <c r="D96" s="17"/>
      <c r="E96" s="17"/>
      <c r="F96" s="17"/>
      <c r="G96" s="17"/>
      <c r="H96" s="17"/>
    </row>
    <row r="97" spans="1:8" ht="15.75" customHeight="1" x14ac:dyDescent="0.25">
      <c r="A97" s="17"/>
      <c r="B97" s="17"/>
      <c r="C97" s="17"/>
      <c r="D97" s="17"/>
      <c r="E97" s="17"/>
      <c r="F97" s="17"/>
      <c r="G97" s="17"/>
      <c r="H97" s="17"/>
    </row>
    <row r="98" spans="1:8" ht="15.75" customHeight="1" x14ac:dyDescent="0.25">
      <c r="A98" s="17"/>
      <c r="B98" s="17"/>
      <c r="C98" s="17"/>
      <c r="D98" s="17"/>
      <c r="E98" s="17"/>
      <c r="F98" s="17"/>
      <c r="G98" s="17"/>
      <c r="H98" s="17"/>
    </row>
    <row r="99" spans="1:8" ht="15.75" customHeight="1" x14ac:dyDescent="0.25">
      <c r="A99" s="17"/>
      <c r="B99" s="17"/>
      <c r="C99" s="17"/>
      <c r="D99" s="17"/>
      <c r="E99" s="17"/>
      <c r="F99" s="17"/>
      <c r="G99" s="17"/>
      <c r="H99" s="17"/>
    </row>
    <row r="100" spans="1:8" ht="15.75" customHeight="1" x14ac:dyDescent="0.25">
      <c r="A100" s="17"/>
      <c r="B100" s="17"/>
      <c r="C100" s="17"/>
      <c r="D100" s="17"/>
      <c r="E100" s="17"/>
      <c r="F100" s="17"/>
      <c r="G100" s="17"/>
      <c r="H100" s="17"/>
    </row>
  </sheetData>
  <mergeCells count="19">
    <mergeCell ref="A1:H1"/>
    <mergeCell ref="A2:B2"/>
    <mergeCell ref="C2:D2"/>
    <mergeCell ref="E2:F2"/>
    <mergeCell ref="G2:H2"/>
    <mergeCell ref="A5:H5"/>
    <mergeCell ref="A32:D32"/>
    <mergeCell ref="A33:D33"/>
    <mergeCell ref="A34:D34"/>
    <mergeCell ref="C3:D3"/>
    <mergeCell ref="A17:D17"/>
    <mergeCell ref="A18:D18"/>
    <mergeCell ref="A19:D19"/>
    <mergeCell ref="A21:H21"/>
    <mergeCell ref="A29:D29"/>
    <mergeCell ref="A31:H31"/>
    <mergeCell ref="E3:F3"/>
    <mergeCell ref="G3:H3"/>
    <mergeCell ref="A3:B3"/>
  </mergeCells>
  <pageMargins left="0.75" right="0.75" top="1" bottom="1" header="0" footer="0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2E86AB"/>
  </sheetPr>
  <dimension ref="A1:H100"/>
  <sheetViews>
    <sheetView workbookViewId="0">
      <selection sqref="A1:H1"/>
    </sheetView>
  </sheetViews>
  <sheetFormatPr defaultColWidth="14.42578125" defaultRowHeight="15" customHeight="1" x14ac:dyDescent="0.25"/>
  <cols>
    <col min="1" max="1" width="10" customWidth="1"/>
    <col min="2" max="2" width="26" customWidth="1"/>
    <col min="3" max="7" width="16" customWidth="1"/>
    <col min="8" max="8" width="20" customWidth="1"/>
  </cols>
  <sheetData>
    <row r="1" spans="1:8" ht="27.75" customHeight="1" x14ac:dyDescent="0.25">
      <c r="A1" s="163" t="s">
        <v>211</v>
      </c>
      <c r="B1" s="146"/>
      <c r="C1" s="146"/>
      <c r="D1" s="146"/>
      <c r="E1" s="146"/>
      <c r="F1" s="146"/>
      <c r="G1" s="146"/>
      <c r="H1" s="147"/>
    </row>
    <row r="2" spans="1:8" ht="18" customHeight="1" x14ac:dyDescent="0.25">
      <c r="A2" s="164" t="s">
        <v>34</v>
      </c>
      <c r="B2" s="147"/>
      <c r="C2" s="164" t="s">
        <v>35</v>
      </c>
      <c r="D2" s="147"/>
      <c r="E2" s="164" t="s">
        <v>36</v>
      </c>
      <c r="F2" s="147"/>
      <c r="G2" s="164" t="s">
        <v>37</v>
      </c>
      <c r="H2" s="147"/>
    </row>
    <row r="3" spans="1:8" ht="21.75" customHeight="1" x14ac:dyDescent="0.25">
      <c r="A3" s="162">
        <f>E29</f>
        <v>4275</v>
      </c>
      <c r="B3" s="147"/>
      <c r="C3" s="154">
        <f>E19</f>
        <v>3080</v>
      </c>
      <c r="D3" s="147"/>
      <c r="E3" s="160">
        <f>E29-E19</f>
        <v>1195</v>
      </c>
      <c r="F3" s="147"/>
      <c r="G3" s="161">
        <f>IF(E29&gt;0,(E29-E19)/E29,0)</f>
        <v>0.27953216374269008</v>
      </c>
      <c r="H3" s="147"/>
    </row>
    <row r="4" spans="1:8" ht="14.25" customHeight="1" x14ac:dyDescent="0.25">
      <c r="A4" s="17"/>
      <c r="B4" s="17"/>
      <c r="C4" s="17"/>
      <c r="D4" s="17"/>
      <c r="E4" s="17"/>
      <c r="F4" s="17"/>
      <c r="G4" s="17"/>
      <c r="H4" s="17"/>
    </row>
    <row r="5" spans="1:8" ht="19.5" customHeight="1" x14ac:dyDescent="0.25">
      <c r="A5" s="150" t="s">
        <v>212</v>
      </c>
      <c r="B5" s="146"/>
      <c r="C5" s="146"/>
      <c r="D5" s="146"/>
      <c r="E5" s="146"/>
      <c r="F5" s="146"/>
      <c r="G5" s="146"/>
      <c r="H5" s="147"/>
    </row>
    <row r="6" spans="1:8" ht="15" customHeight="1" x14ac:dyDescent="0.25">
      <c r="A6" s="36" t="s">
        <v>22</v>
      </c>
      <c r="B6" s="36" t="s">
        <v>39</v>
      </c>
      <c r="C6" s="36" t="s">
        <v>40</v>
      </c>
      <c r="D6" s="36" t="s">
        <v>41</v>
      </c>
      <c r="E6" s="36" t="s">
        <v>42</v>
      </c>
      <c r="F6" s="36" t="s">
        <v>43</v>
      </c>
      <c r="G6" s="36" t="s">
        <v>44</v>
      </c>
      <c r="H6" s="36"/>
    </row>
    <row r="7" spans="1:8" ht="15" customHeight="1" x14ac:dyDescent="0.25">
      <c r="A7" s="37" t="s">
        <v>213</v>
      </c>
      <c r="B7" s="38" t="s">
        <v>46</v>
      </c>
      <c r="C7" s="37" t="s">
        <v>167</v>
      </c>
      <c r="D7" s="37" t="s">
        <v>48</v>
      </c>
      <c r="E7" s="39">
        <v>86</v>
      </c>
      <c r="F7" s="37"/>
      <c r="G7" s="37"/>
      <c r="H7" s="37"/>
    </row>
    <row r="8" spans="1:8" ht="15" customHeight="1" x14ac:dyDescent="0.25">
      <c r="A8" s="40" t="s">
        <v>213</v>
      </c>
      <c r="B8" s="41" t="s">
        <v>49</v>
      </c>
      <c r="C8" s="40"/>
      <c r="D8" s="40" t="s">
        <v>50</v>
      </c>
      <c r="E8" s="42">
        <v>216</v>
      </c>
      <c r="F8" s="40"/>
      <c r="G8" s="40"/>
      <c r="H8" s="40"/>
    </row>
    <row r="9" spans="1:8" ht="15" customHeight="1" x14ac:dyDescent="0.25">
      <c r="A9" s="37" t="s">
        <v>213</v>
      </c>
      <c r="B9" s="38" t="s">
        <v>51</v>
      </c>
      <c r="C9" s="37"/>
      <c r="D9" s="37" t="s">
        <v>50</v>
      </c>
      <c r="E9" s="39">
        <v>230</v>
      </c>
      <c r="F9" s="37"/>
      <c r="G9" s="37"/>
      <c r="H9" s="37"/>
    </row>
    <row r="10" spans="1:8" ht="15" customHeight="1" x14ac:dyDescent="0.25">
      <c r="A10" s="40" t="s">
        <v>213</v>
      </c>
      <c r="B10" s="41" t="s">
        <v>52</v>
      </c>
      <c r="C10" s="40"/>
      <c r="D10" s="40" t="s">
        <v>50</v>
      </c>
      <c r="E10" s="42">
        <v>95</v>
      </c>
      <c r="F10" s="40"/>
      <c r="G10" s="40"/>
      <c r="H10" s="40"/>
    </row>
    <row r="11" spans="1:8" ht="15" customHeight="1" x14ac:dyDescent="0.25">
      <c r="A11" s="37" t="s">
        <v>213</v>
      </c>
      <c r="B11" s="38" t="s">
        <v>53</v>
      </c>
      <c r="C11" s="37"/>
      <c r="D11" s="37" t="s">
        <v>50</v>
      </c>
      <c r="E11" s="39">
        <v>120</v>
      </c>
      <c r="F11" s="37"/>
      <c r="G11" s="37"/>
      <c r="H11" s="37"/>
    </row>
    <row r="12" spans="1:8" ht="15" customHeight="1" x14ac:dyDescent="0.25">
      <c r="A12" s="40" t="s">
        <v>213</v>
      </c>
      <c r="B12" s="41" t="s">
        <v>54</v>
      </c>
      <c r="C12" s="40"/>
      <c r="D12" s="40" t="s">
        <v>50</v>
      </c>
      <c r="E12" s="42">
        <v>288</v>
      </c>
      <c r="F12" s="40"/>
      <c r="G12" s="40"/>
      <c r="H12" s="40"/>
    </row>
    <row r="13" spans="1:8" ht="15" customHeight="1" x14ac:dyDescent="0.25">
      <c r="A13" s="37" t="s">
        <v>213</v>
      </c>
      <c r="B13" s="38" t="s">
        <v>55</v>
      </c>
      <c r="C13" s="37"/>
      <c r="D13" s="37" t="s">
        <v>50</v>
      </c>
      <c r="E13" s="39">
        <v>135</v>
      </c>
      <c r="F13" s="37"/>
      <c r="G13" s="37"/>
      <c r="H13" s="37"/>
    </row>
    <row r="14" spans="1:8" ht="15" customHeight="1" x14ac:dyDescent="0.25">
      <c r="A14" s="40" t="s">
        <v>213</v>
      </c>
      <c r="B14" s="40" t="s">
        <v>126</v>
      </c>
      <c r="C14" s="31"/>
      <c r="D14" s="40" t="s">
        <v>50</v>
      </c>
      <c r="E14" s="107">
        <f>'💳 Empréstimo'!F27</f>
        <v>560</v>
      </c>
      <c r="F14" s="31"/>
      <c r="G14" s="40" t="s">
        <v>214</v>
      </c>
      <c r="H14" s="31"/>
    </row>
    <row r="15" spans="1:8" ht="15" customHeight="1" x14ac:dyDescent="0.25">
      <c r="A15" s="31"/>
      <c r="B15" s="31"/>
      <c r="C15" s="31"/>
      <c r="D15" s="31"/>
      <c r="E15" s="29"/>
      <c r="F15" s="31"/>
      <c r="G15" s="31"/>
      <c r="H15" s="31"/>
    </row>
    <row r="16" spans="1:8" ht="15" customHeight="1" x14ac:dyDescent="0.25">
      <c r="A16" s="31"/>
      <c r="B16" s="31"/>
      <c r="C16" s="31"/>
      <c r="D16" s="31"/>
      <c r="E16" s="29"/>
      <c r="F16" s="31"/>
      <c r="G16" s="31"/>
      <c r="H16" s="31"/>
    </row>
    <row r="17" spans="1:8" ht="15" customHeight="1" x14ac:dyDescent="0.25">
      <c r="A17" s="155" t="s">
        <v>56</v>
      </c>
      <c r="B17" s="152"/>
      <c r="C17" s="152"/>
      <c r="D17" s="153"/>
      <c r="E17" s="43">
        <f>SUM(E7:E16)</f>
        <v>1730</v>
      </c>
      <c r="F17" s="44"/>
      <c r="G17" s="44"/>
      <c r="H17" s="44"/>
    </row>
    <row r="18" spans="1:8" ht="15" customHeight="1" x14ac:dyDescent="0.25">
      <c r="A18" s="156" t="s">
        <v>57</v>
      </c>
      <c r="B18" s="152"/>
      <c r="C18" s="152"/>
      <c r="D18" s="153"/>
      <c r="E18" s="45">
        <v>1350</v>
      </c>
      <c r="F18" s="44"/>
      <c r="G18" s="44"/>
      <c r="H18" s="44"/>
    </row>
    <row r="19" spans="1:8" ht="15" customHeight="1" x14ac:dyDescent="0.25">
      <c r="A19" s="157" t="s">
        <v>58</v>
      </c>
      <c r="B19" s="152"/>
      <c r="C19" s="152"/>
      <c r="D19" s="153"/>
      <c r="E19" s="46">
        <f>E17+E18</f>
        <v>3080</v>
      </c>
      <c r="F19" s="47"/>
      <c r="G19" s="47"/>
      <c r="H19" s="47"/>
    </row>
    <row r="20" spans="1:8" ht="14.25" customHeight="1" x14ac:dyDescent="0.25">
      <c r="A20" s="17"/>
      <c r="B20" s="17"/>
      <c r="C20" s="17"/>
      <c r="D20" s="17"/>
      <c r="E20" s="17"/>
      <c r="F20" s="17"/>
      <c r="G20" s="17"/>
      <c r="H20" s="17"/>
    </row>
    <row r="21" spans="1:8" ht="19.5" customHeight="1" x14ac:dyDescent="0.25">
      <c r="A21" s="158" t="s">
        <v>215</v>
      </c>
      <c r="B21" s="146"/>
      <c r="C21" s="146"/>
      <c r="D21" s="146"/>
      <c r="E21" s="146"/>
      <c r="F21" s="146"/>
      <c r="G21" s="146"/>
      <c r="H21" s="147"/>
    </row>
    <row r="22" spans="1:8" ht="15" customHeight="1" x14ac:dyDescent="0.25">
      <c r="A22" s="48" t="s">
        <v>22</v>
      </c>
      <c r="B22" s="48" t="s">
        <v>39</v>
      </c>
      <c r="C22" s="48" t="s">
        <v>40</v>
      </c>
      <c r="D22" s="48" t="s">
        <v>41</v>
      </c>
      <c r="E22" s="48" t="s">
        <v>42</v>
      </c>
      <c r="F22" s="48" t="s">
        <v>60</v>
      </c>
      <c r="G22" s="48" t="s">
        <v>44</v>
      </c>
      <c r="H22" s="48"/>
    </row>
    <row r="23" spans="1:8" ht="15" customHeight="1" x14ac:dyDescent="0.25">
      <c r="A23" s="49" t="s">
        <v>213</v>
      </c>
      <c r="B23" s="50" t="s">
        <v>61</v>
      </c>
      <c r="C23" s="49" t="s">
        <v>62</v>
      </c>
      <c r="D23" s="49" t="s">
        <v>50</v>
      </c>
      <c r="E23" s="51">
        <v>1475</v>
      </c>
      <c r="F23" s="49"/>
      <c r="G23" s="49"/>
      <c r="H23" s="49"/>
    </row>
    <row r="24" spans="1:8" ht="15" customHeight="1" x14ac:dyDescent="0.25">
      <c r="A24" s="52" t="s">
        <v>213</v>
      </c>
      <c r="B24" s="53" t="s">
        <v>63</v>
      </c>
      <c r="C24" s="52" t="s">
        <v>62</v>
      </c>
      <c r="D24" s="52" t="s">
        <v>50</v>
      </c>
      <c r="E24" s="54">
        <v>1300</v>
      </c>
      <c r="F24" s="52"/>
      <c r="G24" s="52"/>
      <c r="H24" s="52"/>
    </row>
    <row r="25" spans="1:8" ht="15" customHeight="1" x14ac:dyDescent="0.25">
      <c r="A25" s="49" t="s">
        <v>213</v>
      </c>
      <c r="B25" s="50" t="s">
        <v>64</v>
      </c>
      <c r="C25" s="49" t="s">
        <v>62</v>
      </c>
      <c r="D25" s="49" t="s">
        <v>50</v>
      </c>
      <c r="E25" s="51">
        <v>1500</v>
      </c>
      <c r="F25" s="49"/>
      <c r="G25" s="49"/>
      <c r="H25" s="49"/>
    </row>
    <row r="26" spans="1:8" ht="15" customHeight="1" x14ac:dyDescent="0.25">
      <c r="A26" s="52"/>
      <c r="B26" s="53"/>
      <c r="C26" s="52"/>
      <c r="D26" s="52"/>
      <c r="E26" s="54"/>
      <c r="F26" s="52"/>
      <c r="G26" s="52"/>
      <c r="H26" s="52"/>
    </row>
    <row r="27" spans="1:8" ht="15" customHeight="1" x14ac:dyDescent="0.25">
      <c r="A27" s="55"/>
      <c r="B27" s="55"/>
      <c r="C27" s="55"/>
      <c r="D27" s="55"/>
      <c r="E27" s="56"/>
      <c r="F27" s="55"/>
      <c r="G27" s="55"/>
      <c r="H27" s="55"/>
    </row>
    <row r="28" spans="1:8" ht="15" customHeight="1" x14ac:dyDescent="0.25">
      <c r="A28" s="55"/>
      <c r="B28" s="55"/>
      <c r="C28" s="55"/>
      <c r="D28" s="55"/>
      <c r="E28" s="56"/>
      <c r="F28" s="55"/>
      <c r="G28" s="55"/>
      <c r="H28" s="55"/>
    </row>
    <row r="29" spans="1:8" ht="15" customHeight="1" x14ac:dyDescent="0.25">
      <c r="A29" s="157" t="s">
        <v>66</v>
      </c>
      <c r="B29" s="152"/>
      <c r="C29" s="152"/>
      <c r="D29" s="153"/>
      <c r="E29" s="46">
        <f>SUM(E23:E28)</f>
        <v>4275</v>
      </c>
      <c r="F29" s="47"/>
      <c r="G29" s="47"/>
      <c r="H29" s="47"/>
    </row>
    <row r="30" spans="1:8" ht="15.75" customHeight="1" x14ac:dyDescent="0.25">
      <c r="A30" s="17"/>
      <c r="B30" s="17"/>
      <c r="C30" s="17"/>
      <c r="D30" s="17"/>
      <c r="E30" s="17"/>
      <c r="F30" s="17"/>
      <c r="G30" s="17"/>
      <c r="H30" s="17"/>
    </row>
    <row r="31" spans="1:8" ht="19.5" customHeight="1" x14ac:dyDescent="0.25">
      <c r="A31" s="159" t="s">
        <v>67</v>
      </c>
      <c r="B31" s="146"/>
      <c r="C31" s="146"/>
      <c r="D31" s="146"/>
      <c r="E31" s="146"/>
      <c r="F31" s="146"/>
      <c r="G31" s="146"/>
      <c r="H31" s="147"/>
    </row>
    <row r="32" spans="1:8" ht="15" customHeight="1" x14ac:dyDescent="0.25">
      <c r="A32" s="151" t="s">
        <v>68</v>
      </c>
      <c r="B32" s="152"/>
      <c r="C32" s="152"/>
      <c r="D32" s="153"/>
      <c r="E32" s="57">
        <f>E29-E19</f>
        <v>1195</v>
      </c>
      <c r="F32" s="58"/>
      <c r="G32" s="58"/>
      <c r="H32" s="58"/>
    </row>
    <row r="33" spans="1:8" ht="15" customHeight="1" x14ac:dyDescent="0.25">
      <c r="A33" s="151" t="s">
        <v>76</v>
      </c>
      <c r="B33" s="152"/>
      <c r="C33" s="152"/>
      <c r="D33" s="153"/>
      <c r="E33" s="57">
        <f>0.7*(E29-E19)</f>
        <v>836.5</v>
      </c>
      <c r="F33" s="58"/>
      <c r="G33" s="58"/>
      <c r="H33" s="58"/>
    </row>
    <row r="34" spans="1:8" ht="15" customHeight="1" x14ac:dyDescent="0.25">
      <c r="A34" s="151" t="s">
        <v>70</v>
      </c>
      <c r="B34" s="152"/>
      <c r="C34" s="152"/>
      <c r="D34" s="153"/>
      <c r="E34" s="57">
        <f>E19/6</f>
        <v>513.33333333333337</v>
      </c>
      <c r="F34" s="58"/>
      <c r="G34" s="58"/>
      <c r="H34" s="58"/>
    </row>
    <row r="35" spans="1:8" ht="15.75" customHeight="1" x14ac:dyDescent="0.25">
      <c r="A35" s="17"/>
      <c r="B35" s="17"/>
      <c r="C35" s="17"/>
      <c r="D35" s="17"/>
      <c r="E35" s="17"/>
      <c r="F35" s="17"/>
      <c r="G35" s="17"/>
      <c r="H35" s="17"/>
    </row>
    <row r="36" spans="1:8" ht="15.75" customHeight="1" x14ac:dyDescent="0.25">
      <c r="A36" s="17"/>
      <c r="B36" s="17"/>
      <c r="C36" s="17"/>
      <c r="D36" s="17"/>
      <c r="E36" s="17"/>
      <c r="F36" s="17"/>
      <c r="G36" s="17"/>
      <c r="H36" s="17"/>
    </row>
    <row r="37" spans="1:8" ht="15.75" customHeight="1" x14ac:dyDescent="0.25">
      <c r="A37" s="17"/>
      <c r="B37" s="17"/>
      <c r="C37" s="17"/>
      <c r="D37" s="17"/>
      <c r="E37" s="17"/>
      <c r="F37" s="17"/>
      <c r="G37" s="17"/>
      <c r="H37" s="17"/>
    </row>
    <row r="38" spans="1:8" ht="15.75" customHeight="1" x14ac:dyDescent="0.25">
      <c r="A38" s="17"/>
      <c r="B38" s="17"/>
      <c r="C38" s="17"/>
      <c r="D38" s="17"/>
      <c r="E38" s="17"/>
      <c r="F38" s="17"/>
      <c r="G38" s="17"/>
      <c r="H38" s="17"/>
    </row>
    <row r="39" spans="1:8" ht="15.75" customHeight="1" x14ac:dyDescent="0.25">
      <c r="A39" s="17"/>
      <c r="B39" s="17"/>
      <c r="C39" s="17"/>
      <c r="D39" s="17"/>
      <c r="E39" s="17"/>
      <c r="F39" s="17"/>
      <c r="G39" s="17"/>
      <c r="H39" s="17"/>
    </row>
    <row r="40" spans="1:8" ht="15.75" customHeight="1" x14ac:dyDescent="0.25">
      <c r="A40" s="17"/>
      <c r="B40" s="17"/>
      <c r="C40" s="17"/>
      <c r="D40" s="17"/>
      <c r="E40" s="17"/>
      <c r="F40" s="17"/>
      <c r="G40" s="17"/>
      <c r="H40" s="17"/>
    </row>
    <row r="41" spans="1:8" ht="15.75" customHeight="1" x14ac:dyDescent="0.25">
      <c r="A41" s="17"/>
      <c r="B41" s="17"/>
      <c r="C41" s="17"/>
      <c r="D41" s="17"/>
      <c r="E41" s="17"/>
      <c r="F41" s="17"/>
      <c r="G41" s="17"/>
      <c r="H41" s="17"/>
    </row>
    <row r="42" spans="1:8" ht="15.75" customHeight="1" x14ac:dyDescent="0.25">
      <c r="A42" s="17"/>
      <c r="B42" s="17"/>
      <c r="C42" s="17"/>
      <c r="D42" s="17"/>
      <c r="E42" s="17"/>
      <c r="F42" s="17"/>
      <c r="G42" s="17"/>
      <c r="H42" s="17"/>
    </row>
    <row r="43" spans="1:8" ht="15.75" customHeight="1" x14ac:dyDescent="0.25">
      <c r="A43" s="17"/>
      <c r="B43" s="17"/>
      <c r="C43" s="17"/>
      <c r="D43" s="17"/>
      <c r="E43" s="17"/>
      <c r="F43" s="17"/>
      <c r="G43" s="17"/>
      <c r="H43" s="17"/>
    </row>
    <row r="44" spans="1:8" ht="15.75" customHeight="1" x14ac:dyDescent="0.25">
      <c r="A44" s="17"/>
      <c r="B44" s="17"/>
      <c r="C44" s="17"/>
      <c r="D44" s="17"/>
      <c r="E44" s="17"/>
      <c r="F44" s="17"/>
      <c r="G44" s="17"/>
      <c r="H44" s="17"/>
    </row>
    <row r="45" spans="1:8" ht="15.75" customHeight="1" x14ac:dyDescent="0.25">
      <c r="A45" s="17"/>
      <c r="B45" s="17"/>
      <c r="C45" s="17"/>
      <c r="D45" s="17"/>
      <c r="E45" s="17"/>
      <c r="F45" s="17"/>
      <c r="G45" s="17"/>
      <c r="H45" s="17"/>
    </row>
    <row r="46" spans="1:8" ht="15.75" customHeight="1" x14ac:dyDescent="0.25">
      <c r="A46" s="17"/>
      <c r="B46" s="17"/>
      <c r="C46" s="17"/>
      <c r="D46" s="17"/>
      <c r="E46" s="17"/>
      <c r="F46" s="17"/>
      <c r="G46" s="17"/>
      <c r="H46" s="17"/>
    </row>
    <row r="47" spans="1:8" ht="15.75" customHeight="1" x14ac:dyDescent="0.25">
      <c r="A47" s="17"/>
      <c r="B47" s="17"/>
      <c r="C47" s="17"/>
      <c r="D47" s="17"/>
      <c r="E47" s="17"/>
      <c r="F47" s="17"/>
      <c r="G47" s="17"/>
      <c r="H47" s="17"/>
    </row>
    <row r="48" spans="1:8" ht="15.75" customHeight="1" x14ac:dyDescent="0.25">
      <c r="A48" s="17"/>
      <c r="B48" s="17"/>
      <c r="C48" s="17"/>
      <c r="D48" s="17"/>
      <c r="E48" s="17"/>
      <c r="F48" s="17"/>
      <c r="G48" s="17"/>
      <c r="H48" s="17"/>
    </row>
    <row r="49" spans="1:8" ht="15.75" customHeight="1" x14ac:dyDescent="0.25">
      <c r="A49" s="17"/>
      <c r="B49" s="17"/>
      <c r="C49" s="17"/>
      <c r="D49" s="17"/>
      <c r="E49" s="17"/>
      <c r="F49" s="17"/>
      <c r="G49" s="17"/>
      <c r="H49" s="17"/>
    </row>
    <row r="50" spans="1:8" ht="15.75" customHeight="1" x14ac:dyDescent="0.25">
      <c r="A50" s="17"/>
      <c r="B50" s="17"/>
      <c r="C50" s="17"/>
      <c r="D50" s="17"/>
      <c r="E50" s="17"/>
      <c r="F50" s="17"/>
      <c r="G50" s="17"/>
      <c r="H50" s="17"/>
    </row>
    <row r="51" spans="1:8" ht="15.75" customHeight="1" x14ac:dyDescent="0.25">
      <c r="A51" s="17"/>
      <c r="B51" s="17"/>
      <c r="C51" s="17"/>
      <c r="D51" s="17"/>
      <c r="E51" s="17"/>
      <c r="F51" s="17"/>
      <c r="G51" s="17"/>
      <c r="H51" s="17"/>
    </row>
    <row r="52" spans="1:8" ht="15.75" customHeight="1" x14ac:dyDescent="0.25">
      <c r="A52" s="17"/>
      <c r="B52" s="17"/>
      <c r="C52" s="17"/>
      <c r="D52" s="17"/>
      <c r="E52" s="17"/>
      <c r="F52" s="17"/>
      <c r="G52" s="17"/>
      <c r="H52" s="17"/>
    </row>
    <row r="53" spans="1:8" ht="15.75" customHeight="1" x14ac:dyDescent="0.25">
      <c r="A53" s="17"/>
      <c r="B53" s="17"/>
      <c r="C53" s="17"/>
      <c r="D53" s="17"/>
      <c r="E53" s="17"/>
      <c r="F53" s="17"/>
      <c r="G53" s="17"/>
      <c r="H53" s="17"/>
    </row>
    <row r="54" spans="1:8" ht="15.75" customHeight="1" x14ac:dyDescent="0.25">
      <c r="A54" s="17"/>
      <c r="B54" s="17"/>
      <c r="C54" s="17"/>
      <c r="D54" s="17"/>
      <c r="E54" s="17"/>
      <c r="F54" s="17"/>
      <c r="G54" s="17"/>
      <c r="H54" s="17"/>
    </row>
    <row r="55" spans="1:8" ht="15.75" customHeight="1" x14ac:dyDescent="0.25">
      <c r="A55" s="17"/>
      <c r="B55" s="17"/>
      <c r="C55" s="17"/>
      <c r="D55" s="17"/>
      <c r="E55" s="17"/>
      <c r="F55" s="17"/>
      <c r="G55" s="17"/>
      <c r="H55" s="17"/>
    </row>
    <row r="56" spans="1:8" ht="15.75" customHeight="1" x14ac:dyDescent="0.25">
      <c r="A56" s="17"/>
      <c r="B56" s="17"/>
      <c r="C56" s="17"/>
      <c r="D56" s="17"/>
      <c r="E56" s="17"/>
      <c r="F56" s="17"/>
      <c r="G56" s="17"/>
      <c r="H56" s="17"/>
    </row>
    <row r="57" spans="1:8" ht="15.75" customHeight="1" x14ac:dyDescent="0.25">
      <c r="A57" s="17"/>
      <c r="B57" s="17"/>
      <c r="C57" s="17"/>
      <c r="D57" s="17"/>
      <c r="E57" s="17"/>
      <c r="F57" s="17"/>
      <c r="G57" s="17"/>
      <c r="H57" s="17"/>
    </row>
    <row r="58" spans="1:8" ht="15.75" customHeight="1" x14ac:dyDescent="0.25">
      <c r="A58" s="17"/>
      <c r="B58" s="17"/>
      <c r="C58" s="17"/>
      <c r="D58" s="17"/>
      <c r="E58" s="17"/>
      <c r="F58" s="17"/>
      <c r="G58" s="17"/>
      <c r="H58" s="17"/>
    </row>
    <row r="59" spans="1:8" ht="15.75" customHeight="1" x14ac:dyDescent="0.25">
      <c r="A59" s="17"/>
      <c r="B59" s="17"/>
      <c r="C59" s="17"/>
      <c r="D59" s="17"/>
      <c r="E59" s="17"/>
      <c r="F59" s="17"/>
      <c r="G59" s="17"/>
      <c r="H59" s="17"/>
    </row>
    <row r="60" spans="1:8" ht="15.75" customHeight="1" x14ac:dyDescent="0.25">
      <c r="A60" s="17"/>
      <c r="B60" s="17"/>
      <c r="C60" s="17"/>
      <c r="D60" s="17"/>
      <c r="E60" s="17"/>
      <c r="F60" s="17"/>
      <c r="G60" s="17"/>
      <c r="H60" s="17"/>
    </row>
    <row r="61" spans="1:8" ht="15.75" customHeight="1" x14ac:dyDescent="0.25">
      <c r="A61" s="17"/>
      <c r="B61" s="17"/>
      <c r="C61" s="17"/>
      <c r="D61" s="17"/>
      <c r="E61" s="17"/>
      <c r="F61" s="17"/>
      <c r="G61" s="17"/>
      <c r="H61" s="17"/>
    </row>
    <row r="62" spans="1:8" ht="15.75" customHeight="1" x14ac:dyDescent="0.25">
      <c r="A62" s="17"/>
      <c r="B62" s="17"/>
      <c r="C62" s="17"/>
      <c r="D62" s="17"/>
      <c r="E62" s="17"/>
      <c r="F62" s="17"/>
      <c r="G62" s="17"/>
      <c r="H62" s="17"/>
    </row>
    <row r="63" spans="1:8" ht="15.75" customHeight="1" x14ac:dyDescent="0.25">
      <c r="A63" s="17"/>
      <c r="B63" s="17"/>
      <c r="C63" s="17"/>
      <c r="D63" s="17"/>
      <c r="E63" s="17"/>
      <c r="F63" s="17"/>
      <c r="G63" s="17"/>
      <c r="H63" s="17"/>
    </row>
    <row r="64" spans="1:8" ht="15.75" customHeight="1" x14ac:dyDescent="0.25">
      <c r="A64" s="17"/>
      <c r="B64" s="17"/>
      <c r="C64" s="17"/>
      <c r="D64" s="17"/>
      <c r="E64" s="17"/>
      <c r="F64" s="17"/>
      <c r="G64" s="17"/>
      <c r="H64" s="17"/>
    </row>
    <row r="65" spans="1:8" ht="15.75" customHeight="1" x14ac:dyDescent="0.25">
      <c r="A65" s="17"/>
      <c r="B65" s="17"/>
      <c r="C65" s="17"/>
      <c r="D65" s="17"/>
      <c r="E65" s="17"/>
      <c r="F65" s="17"/>
      <c r="G65" s="17"/>
      <c r="H65" s="17"/>
    </row>
    <row r="66" spans="1:8" ht="15.75" customHeight="1" x14ac:dyDescent="0.25">
      <c r="A66" s="17"/>
      <c r="B66" s="17"/>
      <c r="C66" s="17"/>
      <c r="D66" s="17"/>
      <c r="E66" s="17"/>
      <c r="F66" s="17"/>
      <c r="G66" s="17"/>
      <c r="H66" s="17"/>
    </row>
    <row r="67" spans="1:8" ht="15.75" customHeight="1" x14ac:dyDescent="0.25">
      <c r="A67" s="17"/>
      <c r="B67" s="17"/>
      <c r="C67" s="17"/>
      <c r="D67" s="17"/>
      <c r="E67" s="17"/>
      <c r="F67" s="17"/>
      <c r="G67" s="17"/>
      <c r="H67" s="17"/>
    </row>
    <row r="68" spans="1:8" ht="15.75" customHeight="1" x14ac:dyDescent="0.25">
      <c r="A68" s="17"/>
      <c r="B68" s="17"/>
      <c r="C68" s="17"/>
      <c r="D68" s="17"/>
      <c r="E68" s="17"/>
      <c r="F68" s="17"/>
      <c r="G68" s="17"/>
      <c r="H68" s="17"/>
    </row>
    <row r="69" spans="1:8" ht="15.75" customHeight="1" x14ac:dyDescent="0.25">
      <c r="A69" s="17"/>
      <c r="B69" s="17"/>
      <c r="C69" s="17"/>
      <c r="D69" s="17"/>
      <c r="E69" s="17"/>
      <c r="F69" s="17"/>
      <c r="G69" s="17"/>
      <c r="H69" s="17"/>
    </row>
    <row r="70" spans="1:8" ht="15.75" customHeight="1" x14ac:dyDescent="0.25">
      <c r="A70" s="17"/>
      <c r="B70" s="17"/>
      <c r="C70" s="17"/>
      <c r="D70" s="17"/>
      <c r="E70" s="17"/>
      <c r="F70" s="17"/>
      <c r="G70" s="17"/>
      <c r="H70" s="17"/>
    </row>
    <row r="71" spans="1:8" ht="15.75" customHeight="1" x14ac:dyDescent="0.25">
      <c r="A71" s="17"/>
      <c r="B71" s="17"/>
      <c r="C71" s="17"/>
      <c r="D71" s="17"/>
      <c r="E71" s="17"/>
      <c r="F71" s="17"/>
      <c r="G71" s="17"/>
      <c r="H71" s="17"/>
    </row>
    <row r="72" spans="1:8" ht="15.75" customHeight="1" x14ac:dyDescent="0.25">
      <c r="A72" s="17"/>
      <c r="B72" s="17"/>
      <c r="C72" s="17"/>
      <c r="D72" s="17"/>
      <c r="E72" s="17"/>
      <c r="F72" s="17"/>
      <c r="G72" s="17"/>
      <c r="H72" s="17"/>
    </row>
    <row r="73" spans="1:8" ht="15.75" customHeight="1" x14ac:dyDescent="0.25">
      <c r="A73" s="17"/>
      <c r="B73" s="17"/>
      <c r="C73" s="17"/>
      <c r="D73" s="17"/>
      <c r="E73" s="17"/>
      <c r="F73" s="17"/>
      <c r="G73" s="17"/>
      <c r="H73" s="17"/>
    </row>
    <row r="74" spans="1:8" ht="15.75" customHeight="1" x14ac:dyDescent="0.25">
      <c r="A74" s="17"/>
      <c r="B74" s="17"/>
      <c r="C74" s="17"/>
      <c r="D74" s="17"/>
      <c r="E74" s="17"/>
      <c r="F74" s="17"/>
      <c r="G74" s="17"/>
      <c r="H74" s="17"/>
    </row>
    <row r="75" spans="1:8" ht="15.75" customHeight="1" x14ac:dyDescent="0.25">
      <c r="A75" s="17"/>
      <c r="B75" s="17"/>
      <c r="C75" s="17"/>
      <c r="D75" s="17"/>
      <c r="E75" s="17"/>
      <c r="F75" s="17"/>
      <c r="G75" s="17"/>
      <c r="H75" s="17"/>
    </row>
    <row r="76" spans="1:8" ht="15.75" customHeight="1" x14ac:dyDescent="0.25">
      <c r="A76" s="17"/>
      <c r="B76" s="17"/>
      <c r="C76" s="17"/>
      <c r="D76" s="17"/>
      <c r="E76" s="17"/>
      <c r="F76" s="17"/>
      <c r="G76" s="17"/>
      <c r="H76" s="17"/>
    </row>
    <row r="77" spans="1:8" ht="15.75" customHeight="1" x14ac:dyDescent="0.25">
      <c r="A77" s="17"/>
      <c r="B77" s="17"/>
      <c r="C77" s="17"/>
      <c r="D77" s="17"/>
      <c r="E77" s="17"/>
      <c r="F77" s="17"/>
      <c r="G77" s="17"/>
      <c r="H77" s="17"/>
    </row>
    <row r="78" spans="1:8" ht="15.75" customHeight="1" x14ac:dyDescent="0.25">
      <c r="A78" s="17"/>
      <c r="B78" s="17"/>
      <c r="C78" s="17"/>
      <c r="D78" s="17"/>
      <c r="E78" s="17"/>
      <c r="F78" s="17"/>
      <c r="G78" s="17"/>
      <c r="H78" s="17"/>
    </row>
    <row r="79" spans="1:8" ht="15.75" customHeight="1" x14ac:dyDescent="0.25">
      <c r="A79" s="17"/>
      <c r="B79" s="17"/>
      <c r="C79" s="17"/>
      <c r="D79" s="17"/>
      <c r="E79" s="17"/>
      <c r="F79" s="17"/>
      <c r="G79" s="17"/>
      <c r="H79" s="17"/>
    </row>
    <row r="80" spans="1:8" ht="15.75" customHeight="1" x14ac:dyDescent="0.25">
      <c r="A80" s="17"/>
      <c r="B80" s="17"/>
      <c r="C80" s="17"/>
      <c r="D80" s="17"/>
      <c r="E80" s="17"/>
      <c r="F80" s="17"/>
      <c r="G80" s="17"/>
      <c r="H80" s="17"/>
    </row>
    <row r="81" spans="1:8" ht="15.75" customHeight="1" x14ac:dyDescent="0.25">
      <c r="A81" s="17"/>
      <c r="B81" s="17"/>
      <c r="C81" s="17"/>
      <c r="D81" s="17"/>
      <c r="E81" s="17"/>
      <c r="F81" s="17"/>
      <c r="G81" s="17"/>
      <c r="H81" s="17"/>
    </row>
    <row r="82" spans="1:8" ht="15.75" customHeight="1" x14ac:dyDescent="0.25">
      <c r="A82" s="17"/>
      <c r="B82" s="17"/>
      <c r="C82" s="17"/>
      <c r="D82" s="17"/>
      <c r="E82" s="17"/>
      <c r="F82" s="17"/>
      <c r="G82" s="17"/>
      <c r="H82" s="17"/>
    </row>
    <row r="83" spans="1:8" ht="15.75" customHeight="1" x14ac:dyDescent="0.25">
      <c r="A83" s="17"/>
      <c r="B83" s="17"/>
      <c r="C83" s="17"/>
      <c r="D83" s="17"/>
      <c r="E83" s="17"/>
      <c r="F83" s="17"/>
      <c r="G83" s="17"/>
      <c r="H83" s="17"/>
    </row>
    <row r="84" spans="1:8" ht="15.75" customHeight="1" x14ac:dyDescent="0.25">
      <c r="A84" s="17"/>
      <c r="B84" s="17"/>
      <c r="C84" s="17"/>
      <c r="D84" s="17"/>
      <c r="E84" s="17"/>
      <c r="F84" s="17"/>
      <c r="G84" s="17"/>
      <c r="H84" s="17"/>
    </row>
    <row r="85" spans="1:8" ht="15.75" customHeight="1" x14ac:dyDescent="0.25">
      <c r="A85" s="17"/>
      <c r="B85" s="17"/>
      <c r="C85" s="17"/>
      <c r="D85" s="17"/>
      <c r="E85" s="17"/>
      <c r="F85" s="17"/>
      <c r="G85" s="17"/>
      <c r="H85" s="17"/>
    </row>
    <row r="86" spans="1:8" ht="15.75" customHeight="1" x14ac:dyDescent="0.25">
      <c r="A86" s="17"/>
      <c r="B86" s="17"/>
      <c r="C86" s="17"/>
      <c r="D86" s="17"/>
      <c r="E86" s="17"/>
      <c r="F86" s="17"/>
      <c r="G86" s="17"/>
      <c r="H86" s="17"/>
    </row>
    <row r="87" spans="1:8" ht="15.75" customHeight="1" x14ac:dyDescent="0.25">
      <c r="A87" s="17"/>
      <c r="B87" s="17"/>
      <c r="C87" s="17"/>
      <c r="D87" s="17"/>
      <c r="E87" s="17"/>
      <c r="F87" s="17"/>
      <c r="G87" s="17"/>
      <c r="H87" s="17"/>
    </row>
    <row r="88" spans="1:8" ht="15.75" customHeight="1" x14ac:dyDescent="0.25">
      <c r="A88" s="17"/>
      <c r="B88" s="17"/>
      <c r="C88" s="17"/>
      <c r="D88" s="17"/>
      <c r="E88" s="17"/>
      <c r="F88" s="17"/>
      <c r="G88" s="17"/>
      <c r="H88" s="17"/>
    </row>
    <row r="89" spans="1:8" ht="15.75" customHeight="1" x14ac:dyDescent="0.25">
      <c r="A89" s="17"/>
      <c r="B89" s="17"/>
      <c r="C89" s="17"/>
      <c r="D89" s="17"/>
      <c r="E89" s="17"/>
      <c r="F89" s="17"/>
      <c r="G89" s="17"/>
      <c r="H89" s="17"/>
    </row>
    <row r="90" spans="1:8" ht="15.75" customHeight="1" x14ac:dyDescent="0.25">
      <c r="A90" s="17"/>
      <c r="B90" s="17"/>
      <c r="C90" s="17"/>
      <c r="D90" s="17"/>
      <c r="E90" s="17"/>
      <c r="F90" s="17"/>
      <c r="G90" s="17"/>
      <c r="H90" s="17"/>
    </row>
    <row r="91" spans="1:8" ht="15.75" customHeight="1" x14ac:dyDescent="0.25">
      <c r="A91" s="17"/>
      <c r="B91" s="17"/>
      <c r="C91" s="17"/>
      <c r="D91" s="17"/>
      <c r="E91" s="17"/>
      <c r="F91" s="17"/>
      <c r="G91" s="17"/>
      <c r="H91" s="17"/>
    </row>
    <row r="92" spans="1:8" ht="15.75" customHeight="1" x14ac:dyDescent="0.25">
      <c r="A92" s="17"/>
      <c r="B92" s="17"/>
      <c r="C92" s="17"/>
      <c r="D92" s="17"/>
      <c r="E92" s="17"/>
      <c r="F92" s="17"/>
      <c r="G92" s="17"/>
      <c r="H92" s="17"/>
    </row>
    <row r="93" spans="1:8" ht="15.75" customHeight="1" x14ac:dyDescent="0.25">
      <c r="A93" s="17"/>
      <c r="B93" s="17"/>
      <c r="C93" s="17"/>
      <c r="D93" s="17"/>
      <c r="E93" s="17"/>
      <c r="F93" s="17"/>
      <c r="G93" s="17"/>
      <c r="H93" s="17"/>
    </row>
    <row r="94" spans="1:8" ht="15.75" customHeight="1" x14ac:dyDescent="0.25">
      <c r="A94" s="17"/>
      <c r="B94" s="17"/>
      <c r="C94" s="17"/>
      <c r="D94" s="17"/>
      <c r="E94" s="17"/>
      <c r="F94" s="17"/>
      <c r="G94" s="17"/>
      <c r="H94" s="17"/>
    </row>
    <row r="95" spans="1:8" ht="15.75" customHeight="1" x14ac:dyDescent="0.25">
      <c r="A95" s="17"/>
      <c r="B95" s="17"/>
      <c r="C95" s="17"/>
      <c r="D95" s="17"/>
      <c r="E95" s="17"/>
      <c r="F95" s="17"/>
      <c r="G95" s="17"/>
      <c r="H95" s="17"/>
    </row>
    <row r="96" spans="1:8" ht="15.75" customHeight="1" x14ac:dyDescent="0.25">
      <c r="A96" s="17"/>
      <c r="B96" s="17"/>
      <c r="C96" s="17"/>
      <c r="D96" s="17"/>
      <c r="E96" s="17"/>
      <c r="F96" s="17"/>
      <c r="G96" s="17"/>
      <c r="H96" s="17"/>
    </row>
    <row r="97" spans="1:8" ht="15.75" customHeight="1" x14ac:dyDescent="0.25">
      <c r="A97" s="17"/>
      <c r="B97" s="17"/>
      <c r="C97" s="17"/>
      <c r="D97" s="17"/>
      <c r="E97" s="17"/>
      <c r="F97" s="17"/>
      <c r="G97" s="17"/>
      <c r="H97" s="17"/>
    </row>
    <row r="98" spans="1:8" ht="15.75" customHeight="1" x14ac:dyDescent="0.25">
      <c r="A98" s="17"/>
      <c r="B98" s="17"/>
      <c r="C98" s="17"/>
      <c r="D98" s="17"/>
      <c r="E98" s="17"/>
      <c r="F98" s="17"/>
      <c r="G98" s="17"/>
      <c r="H98" s="17"/>
    </row>
    <row r="99" spans="1:8" ht="15.75" customHeight="1" x14ac:dyDescent="0.25">
      <c r="A99" s="17"/>
      <c r="B99" s="17"/>
      <c r="C99" s="17"/>
      <c r="D99" s="17"/>
      <c r="E99" s="17"/>
      <c r="F99" s="17"/>
      <c r="G99" s="17"/>
      <c r="H99" s="17"/>
    </row>
    <row r="100" spans="1:8" ht="15.75" customHeight="1" x14ac:dyDescent="0.25">
      <c r="A100" s="17"/>
      <c r="B100" s="17"/>
      <c r="C100" s="17"/>
      <c r="D100" s="17"/>
      <c r="E100" s="17"/>
      <c r="F100" s="17"/>
      <c r="G100" s="17"/>
      <c r="H100" s="17"/>
    </row>
  </sheetData>
  <mergeCells count="19">
    <mergeCell ref="A1:H1"/>
    <mergeCell ref="A2:B2"/>
    <mergeCell ref="C2:D2"/>
    <mergeCell ref="E2:F2"/>
    <mergeCell ref="G2:H2"/>
    <mergeCell ref="A5:H5"/>
    <mergeCell ref="A32:D32"/>
    <mergeCell ref="A33:D33"/>
    <mergeCell ref="A34:D34"/>
    <mergeCell ref="C3:D3"/>
    <mergeCell ref="A17:D17"/>
    <mergeCell ref="A18:D18"/>
    <mergeCell ref="A19:D19"/>
    <mergeCell ref="A21:H21"/>
    <mergeCell ref="A29:D29"/>
    <mergeCell ref="A31:H31"/>
    <mergeCell ref="E3:F3"/>
    <mergeCell ref="G3:H3"/>
    <mergeCell ref="A3:B3"/>
  </mergeCells>
  <pageMargins left="0.75" right="0.75" top="1" bottom="1" header="0" footer="0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2E86AB"/>
  </sheetPr>
  <dimension ref="A1:H100"/>
  <sheetViews>
    <sheetView workbookViewId="0">
      <selection sqref="A1:H1"/>
    </sheetView>
  </sheetViews>
  <sheetFormatPr defaultColWidth="14.42578125" defaultRowHeight="15" customHeight="1" x14ac:dyDescent="0.25"/>
  <cols>
    <col min="1" max="1" width="10" customWidth="1"/>
    <col min="2" max="2" width="26" customWidth="1"/>
    <col min="3" max="7" width="16" customWidth="1"/>
    <col min="8" max="8" width="20" customWidth="1"/>
  </cols>
  <sheetData>
    <row r="1" spans="1:8" ht="27.75" customHeight="1" x14ac:dyDescent="0.25">
      <c r="A1" s="163" t="s">
        <v>216</v>
      </c>
      <c r="B1" s="146"/>
      <c r="C1" s="146"/>
      <c r="D1" s="146"/>
      <c r="E1" s="146"/>
      <c r="F1" s="146"/>
      <c r="G1" s="146"/>
      <c r="H1" s="147"/>
    </row>
    <row r="2" spans="1:8" ht="18" customHeight="1" x14ac:dyDescent="0.25">
      <c r="A2" s="164" t="s">
        <v>34</v>
      </c>
      <c r="B2" s="147"/>
      <c r="C2" s="164" t="s">
        <v>35</v>
      </c>
      <c r="D2" s="147"/>
      <c r="E2" s="164" t="s">
        <v>36</v>
      </c>
      <c r="F2" s="147"/>
      <c r="G2" s="164" t="s">
        <v>37</v>
      </c>
      <c r="H2" s="147"/>
    </row>
    <row r="3" spans="1:8" ht="21.75" customHeight="1" x14ac:dyDescent="0.25">
      <c r="A3" s="162">
        <f>E29</f>
        <v>4275</v>
      </c>
      <c r="B3" s="147"/>
      <c r="C3" s="154">
        <f>E19</f>
        <v>3080</v>
      </c>
      <c r="D3" s="147"/>
      <c r="E3" s="160">
        <f>E29-E19</f>
        <v>1195</v>
      </c>
      <c r="F3" s="147"/>
      <c r="G3" s="161">
        <f>IF(E29&gt;0,(E29-E19)/E29,0)</f>
        <v>0.27953216374269008</v>
      </c>
      <c r="H3" s="147"/>
    </row>
    <row r="4" spans="1:8" ht="14.25" customHeight="1" x14ac:dyDescent="0.25">
      <c r="A4" s="17"/>
      <c r="B4" s="17"/>
      <c r="C4" s="17"/>
      <c r="D4" s="17"/>
      <c r="E4" s="17"/>
      <c r="F4" s="17"/>
      <c r="G4" s="17"/>
      <c r="H4" s="17"/>
    </row>
    <row r="5" spans="1:8" ht="19.5" customHeight="1" x14ac:dyDescent="0.25">
      <c r="A5" s="150" t="s">
        <v>217</v>
      </c>
      <c r="B5" s="146"/>
      <c r="C5" s="146"/>
      <c r="D5" s="146"/>
      <c r="E5" s="146"/>
      <c r="F5" s="146"/>
      <c r="G5" s="146"/>
      <c r="H5" s="147"/>
    </row>
    <row r="6" spans="1:8" ht="15" customHeight="1" x14ac:dyDescent="0.25">
      <c r="A6" s="36" t="s">
        <v>22</v>
      </c>
      <c r="B6" s="36" t="s">
        <v>39</v>
      </c>
      <c r="C6" s="36" t="s">
        <v>40</v>
      </c>
      <c r="D6" s="36" t="s">
        <v>41</v>
      </c>
      <c r="E6" s="36" t="s">
        <v>42</v>
      </c>
      <c r="F6" s="36" t="s">
        <v>43</v>
      </c>
      <c r="G6" s="36" t="s">
        <v>44</v>
      </c>
      <c r="H6" s="36"/>
    </row>
    <row r="7" spans="1:8" ht="15" customHeight="1" x14ac:dyDescent="0.25">
      <c r="A7" s="37" t="s">
        <v>218</v>
      </c>
      <c r="B7" s="38" t="s">
        <v>46</v>
      </c>
      <c r="C7" s="37" t="s">
        <v>167</v>
      </c>
      <c r="D7" s="37" t="s">
        <v>48</v>
      </c>
      <c r="E7" s="39">
        <v>86</v>
      </c>
      <c r="F7" s="37"/>
      <c r="G7" s="37"/>
      <c r="H7" s="37"/>
    </row>
    <row r="8" spans="1:8" ht="15" customHeight="1" x14ac:dyDescent="0.25">
      <c r="A8" s="40" t="s">
        <v>218</v>
      </c>
      <c r="B8" s="41" t="s">
        <v>49</v>
      </c>
      <c r="C8" s="40"/>
      <c r="D8" s="40" t="s">
        <v>50</v>
      </c>
      <c r="E8" s="42">
        <v>216</v>
      </c>
      <c r="F8" s="40"/>
      <c r="G8" s="40"/>
      <c r="H8" s="40"/>
    </row>
    <row r="9" spans="1:8" ht="15" customHeight="1" x14ac:dyDescent="0.25">
      <c r="A9" s="37" t="s">
        <v>218</v>
      </c>
      <c r="B9" s="38" t="s">
        <v>51</v>
      </c>
      <c r="C9" s="37"/>
      <c r="D9" s="37" t="s">
        <v>50</v>
      </c>
      <c r="E9" s="39">
        <v>230</v>
      </c>
      <c r="F9" s="37"/>
      <c r="G9" s="37"/>
      <c r="H9" s="37"/>
    </row>
    <row r="10" spans="1:8" ht="15" customHeight="1" x14ac:dyDescent="0.25">
      <c r="A10" s="40" t="s">
        <v>218</v>
      </c>
      <c r="B10" s="41" t="s">
        <v>52</v>
      </c>
      <c r="C10" s="40"/>
      <c r="D10" s="40" t="s">
        <v>50</v>
      </c>
      <c r="E10" s="42">
        <v>95</v>
      </c>
      <c r="F10" s="40"/>
      <c r="G10" s="40"/>
      <c r="H10" s="40"/>
    </row>
    <row r="11" spans="1:8" ht="15" customHeight="1" x14ac:dyDescent="0.25">
      <c r="A11" s="37" t="s">
        <v>218</v>
      </c>
      <c r="B11" s="38" t="s">
        <v>53</v>
      </c>
      <c r="C11" s="37"/>
      <c r="D11" s="37" t="s">
        <v>50</v>
      </c>
      <c r="E11" s="39">
        <v>120</v>
      </c>
      <c r="F11" s="37"/>
      <c r="G11" s="37"/>
      <c r="H11" s="37"/>
    </row>
    <row r="12" spans="1:8" ht="15" customHeight="1" x14ac:dyDescent="0.25">
      <c r="A12" s="40" t="s">
        <v>218</v>
      </c>
      <c r="B12" s="41" t="s">
        <v>54</v>
      </c>
      <c r="C12" s="40"/>
      <c r="D12" s="40" t="s">
        <v>50</v>
      </c>
      <c r="E12" s="42">
        <v>288</v>
      </c>
      <c r="F12" s="40"/>
      <c r="G12" s="40"/>
      <c r="H12" s="40"/>
    </row>
    <row r="13" spans="1:8" ht="15" customHeight="1" x14ac:dyDescent="0.25">
      <c r="A13" s="37" t="s">
        <v>218</v>
      </c>
      <c r="B13" s="38" t="s">
        <v>55</v>
      </c>
      <c r="C13" s="37"/>
      <c r="D13" s="37" t="s">
        <v>50</v>
      </c>
      <c r="E13" s="39">
        <v>135</v>
      </c>
      <c r="F13" s="37"/>
      <c r="G13" s="37"/>
      <c r="H13" s="37"/>
    </row>
    <row r="14" spans="1:8" ht="15" customHeight="1" x14ac:dyDescent="0.25">
      <c r="A14" s="40" t="s">
        <v>218</v>
      </c>
      <c r="B14" s="40" t="s">
        <v>126</v>
      </c>
      <c r="C14" s="31"/>
      <c r="D14" s="40" t="s">
        <v>50</v>
      </c>
      <c r="E14" s="107">
        <f>'💳 Empréstimo'!F28</f>
        <v>560</v>
      </c>
      <c r="F14" s="31"/>
      <c r="G14" s="40" t="s">
        <v>219</v>
      </c>
      <c r="H14" s="31"/>
    </row>
    <row r="15" spans="1:8" ht="15" customHeight="1" x14ac:dyDescent="0.25">
      <c r="A15" s="31"/>
      <c r="B15" s="31"/>
      <c r="C15" s="31"/>
      <c r="D15" s="31"/>
      <c r="E15" s="29"/>
      <c r="F15" s="31"/>
      <c r="G15" s="31"/>
      <c r="H15" s="31"/>
    </row>
    <row r="16" spans="1:8" ht="15" customHeight="1" x14ac:dyDescent="0.25">
      <c r="A16" s="31"/>
      <c r="B16" s="31"/>
      <c r="C16" s="31"/>
      <c r="D16" s="31"/>
      <c r="E16" s="29"/>
      <c r="F16" s="31"/>
      <c r="G16" s="31"/>
      <c r="H16" s="31"/>
    </row>
    <row r="17" spans="1:8" ht="15" customHeight="1" x14ac:dyDescent="0.25">
      <c r="A17" s="155" t="s">
        <v>56</v>
      </c>
      <c r="B17" s="152"/>
      <c r="C17" s="152"/>
      <c r="D17" s="153"/>
      <c r="E17" s="43">
        <f>SUM(E7:E16)</f>
        <v>1730</v>
      </c>
      <c r="F17" s="44"/>
      <c r="G17" s="44"/>
      <c r="H17" s="44"/>
    </row>
    <row r="18" spans="1:8" ht="15" customHeight="1" x14ac:dyDescent="0.25">
      <c r="A18" s="156" t="s">
        <v>57</v>
      </c>
      <c r="B18" s="152"/>
      <c r="C18" s="152"/>
      <c r="D18" s="153"/>
      <c r="E18" s="45">
        <v>1350</v>
      </c>
      <c r="F18" s="44"/>
      <c r="G18" s="44"/>
      <c r="H18" s="44"/>
    </row>
    <row r="19" spans="1:8" ht="15" customHeight="1" x14ac:dyDescent="0.25">
      <c r="A19" s="157" t="s">
        <v>58</v>
      </c>
      <c r="B19" s="152"/>
      <c r="C19" s="152"/>
      <c r="D19" s="153"/>
      <c r="E19" s="46">
        <f>E17+E18</f>
        <v>3080</v>
      </c>
      <c r="F19" s="47"/>
      <c r="G19" s="47"/>
      <c r="H19" s="47"/>
    </row>
    <row r="20" spans="1:8" ht="14.25" customHeight="1" x14ac:dyDescent="0.25">
      <c r="A20" s="17"/>
      <c r="B20" s="17"/>
      <c r="C20" s="17"/>
      <c r="D20" s="17"/>
      <c r="E20" s="17"/>
      <c r="F20" s="17"/>
      <c r="G20" s="17"/>
      <c r="H20" s="17"/>
    </row>
    <row r="21" spans="1:8" ht="19.5" customHeight="1" x14ac:dyDescent="0.25">
      <c r="A21" s="158" t="s">
        <v>220</v>
      </c>
      <c r="B21" s="146"/>
      <c r="C21" s="146"/>
      <c r="D21" s="146"/>
      <c r="E21" s="146"/>
      <c r="F21" s="146"/>
      <c r="G21" s="146"/>
      <c r="H21" s="147"/>
    </row>
    <row r="22" spans="1:8" ht="15" customHeight="1" x14ac:dyDescent="0.25">
      <c r="A22" s="48" t="s">
        <v>22</v>
      </c>
      <c r="B22" s="48" t="s">
        <v>39</v>
      </c>
      <c r="C22" s="48" t="s">
        <v>40</v>
      </c>
      <c r="D22" s="48" t="s">
        <v>41</v>
      </c>
      <c r="E22" s="48" t="s">
        <v>42</v>
      </c>
      <c r="F22" s="48" t="s">
        <v>60</v>
      </c>
      <c r="G22" s="48" t="s">
        <v>44</v>
      </c>
      <c r="H22" s="48"/>
    </row>
    <row r="23" spans="1:8" ht="15" customHeight="1" x14ac:dyDescent="0.25">
      <c r="A23" s="49" t="s">
        <v>218</v>
      </c>
      <c r="B23" s="50" t="s">
        <v>61</v>
      </c>
      <c r="C23" s="49" t="s">
        <v>62</v>
      </c>
      <c r="D23" s="49" t="s">
        <v>50</v>
      </c>
      <c r="E23" s="51">
        <v>1475</v>
      </c>
      <c r="F23" s="49"/>
      <c r="G23" s="49"/>
      <c r="H23" s="49"/>
    </row>
    <row r="24" spans="1:8" ht="15" customHeight="1" x14ac:dyDescent="0.25">
      <c r="A24" s="52" t="s">
        <v>218</v>
      </c>
      <c r="B24" s="53" t="s">
        <v>63</v>
      </c>
      <c r="C24" s="52" t="s">
        <v>62</v>
      </c>
      <c r="D24" s="52" t="s">
        <v>50</v>
      </c>
      <c r="E24" s="54">
        <v>1300</v>
      </c>
      <c r="F24" s="52"/>
      <c r="G24" s="52"/>
      <c r="H24" s="52"/>
    </row>
    <row r="25" spans="1:8" ht="15" customHeight="1" x14ac:dyDescent="0.25">
      <c r="A25" s="49" t="s">
        <v>218</v>
      </c>
      <c r="B25" s="50" t="s">
        <v>64</v>
      </c>
      <c r="C25" s="49" t="s">
        <v>62</v>
      </c>
      <c r="D25" s="49" t="s">
        <v>50</v>
      </c>
      <c r="E25" s="51">
        <v>1500</v>
      </c>
      <c r="F25" s="49"/>
      <c r="G25" s="49"/>
      <c r="H25" s="49"/>
    </row>
    <row r="26" spans="1:8" ht="15" customHeight="1" x14ac:dyDescent="0.25">
      <c r="A26" s="52"/>
      <c r="B26" s="53"/>
      <c r="C26" s="52"/>
      <c r="D26" s="52"/>
      <c r="E26" s="54"/>
      <c r="F26" s="52"/>
      <c r="G26" s="52"/>
      <c r="H26" s="52"/>
    </row>
    <row r="27" spans="1:8" ht="15" customHeight="1" x14ac:dyDescent="0.25">
      <c r="A27" s="55"/>
      <c r="B27" s="55"/>
      <c r="C27" s="55"/>
      <c r="D27" s="55"/>
      <c r="E27" s="56"/>
      <c r="F27" s="55"/>
      <c r="G27" s="55"/>
      <c r="H27" s="55"/>
    </row>
    <row r="28" spans="1:8" ht="15" customHeight="1" x14ac:dyDescent="0.25">
      <c r="A28" s="55"/>
      <c r="B28" s="55"/>
      <c r="C28" s="55"/>
      <c r="D28" s="55"/>
      <c r="E28" s="56"/>
      <c r="F28" s="55"/>
      <c r="G28" s="55"/>
      <c r="H28" s="55"/>
    </row>
    <row r="29" spans="1:8" ht="15" customHeight="1" x14ac:dyDescent="0.25">
      <c r="A29" s="157" t="s">
        <v>66</v>
      </c>
      <c r="B29" s="152"/>
      <c r="C29" s="152"/>
      <c r="D29" s="153"/>
      <c r="E29" s="46">
        <f>SUM(E23:E28)</f>
        <v>4275</v>
      </c>
      <c r="F29" s="47"/>
      <c r="G29" s="47"/>
      <c r="H29" s="47"/>
    </row>
    <row r="30" spans="1:8" ht="15.75" customHeight="1" x14ac:dyDescent="0.25">
      <c r="A30" s="17"/>
      <c r="B30" s="17"/>
      <c r="C30" s="17"/>
      <c r="D30" s="17"/>
      <c r="E30" s="17"/>
      <c r="F30" s="17"/>
      <c r="G30" s="17"/>
      <c r="H30" s="17"/>
    </row>
    <row r="31" spans="1:8" ht="19.5" customHeight="1" x14ac:dyDescent="0.25">
      <c r="A31" s="159" t="s">
        <v>67</v>
      </c>
      <c r="B31" s="146"/>
      <c r="C31" s="146"/>
      <c r="D31" s="146"/>
      <c r="E31" s="146"/>
      <c r="F31" s="146"/>
      <c r="G31" s="146"/>
      <c r="H31" s="147"/>
    </row>
    <row r="32" spans="1:8" ht="15" customHeight="1" x14ac:dyDescent="0.25">
      <c r="A32" s="151" t="s">
        <v>68</v>
      </c>
      <c r="B32" s="152"/>
      <c r="C32" s="152"/>
      <c r="D32" s="153"/>
      <c r="E32" s="57">
        <f>E29-E19</f>
        <v>1195</v>
      </c>
      <c r="F32" s="58"/>
      <c r="G32" s="58"/>
      <c r="H32" s="58"/>
    </row>
    <row r="33" spans="1:8" ht="15" customHeight="1" x14ac:dyDescent="0.25">
      <c r="A33" s="151" t="s">
        <v>76</v>
      </c>
      <c r="B33" s="152"/>
      <c r="C33" s="152"/>
      <c r="D33" s="153"/>
      <c r="E33" s="57">
        <f>0.7*(E29-E19)</f>
        <v>836.5</v>
      </c>
      <c r="F33" s="58"/>
      <c r="G33" s="58"/>
      <c r="H33" s="58"/>
    </row>
    <row r="34" spans="1:8" ht="15" customHeight="1" x14ac:dyDescent="0.25">
      <c r="A34" s="151" t="s">
        <v>70</v>
      </c>
      <c r="B34" s="152"/>
      <c r="C34" s="152"/>
      <c r="D34" s="153"/>
      <c r="E34" s="57">
        <f>E19/6</f>
        <v>513.33333333333337</v>
      </c>
      <c r="F34" s="58"/>
      <c r="G34" s="58"/>
      <c r="H34" s="58"/>
    </row>
    <row r="35" spans="1:8" ht="15.75" customHeight="1" x14ac:dyDescent="0.25">
      <c r="A35" s="17"/>
      <c r="B35" s="17"/>
      <c r="C35" s="17"/>
      <c r="D35" s="17"/>
      <c r="E35" s="17"/>
      <c r="F35" s="17"/>
      <c r="G35" s="17"/>
      <c r="H35" s="17"/>
    </row>
    <row r="36" spans="1:8" ht="15.75" customHeight="1" x14ac:dyDescent="0.25">
      <c r="A36" s="17"/>
      <c r="B36" s="17"/>
      <c r="C36" s="17"/>
      <c r="D36" s="17"/>
      <c r="E36" s="17"/>
      <c r="F36" s="17"/>
      <c r="G36" s="17"/>
      <c r="H36" s="17"/>
    </row>
    <row r="37" spans="1:8" ht="15.75" customHeight="1" x14ac:dyDescent="0.25">
      <c r="A37" s="17"/>
      <c r="B37" s="17"/>
      <c r="C37" s="17"/>
      <c r="D37" s="17"/>
      <c r="E37" s="17"/>
      <c r="F37" s="17"/>
      <c r="G37" s="17"/>
      <c r="H37" s="17"/>
    </row>
    <row r="38" spans="1:8" ht="15.75" customHeight="1" x14ac:dyDescent="0.25">
      <c r="A38" s="17"/>
      <c r="B38" s="17"/>
      <c r="C38" s="17"/>
      <c r="D38" s="17"/>
      <c r="E38" s="17"/>
      <c r="F38" s="17"/>
      <c r="G38" s="17"/>
      <c r="H38" s="17"/>
    </row>
    <row r="39" spans="1:8" ht="15.75" customHeight="1" x14ac:dyDescent="0.25">
      <c r="A39" s="17"/>
      <c r="B39" s="17"/>
      <c r="C39" s="17"/>
      <c r="D39" s="17"/>
      <c r="E39" s="17"/>
      <c r="F39" s="17"/>
      <c r="G39" s="17"/>
      <c r="H39" s="17"/>
    </row>
    <row r="40" spans="1:8" ht="15.75" customHeight="1" x14ac:dyDescent="0.25">
      <c r="A40" s="17"/>
      <c r="B40" s="17"/>
      <c r="C40" s="17"/>
      <c r="D40" s="17"/>
      <c r="E40" s="17"/>
      <c r="F40" s="17"/>
      <c r="G40" s="17"/>
      <c r="H40" s="17"/>
    </row>
    <row r="41" spans="1:8" ht="15.75" customHeight="1" x14ac:dyDescent="0.25">
      <c r="A41" s="17"/>
      <c r="B41" s="17"/>
      <c r="C41" s="17"/>
      <c r="D41" s="17"/>
      <c r="E41" s="17"/>
      <c r="F41" s="17"/>
      <c r="G41" s="17"/>
      <c r="H41" s="17"/>
    </row>
    <row r="42" spans="1:8" ht="15.75" customHeight="1" x14ac:dyDescent="0.25">
      <c r="A42" s="17"/>
      <c r="B42" s="17"/>
      <c r="C42" s="17"/>
      <c r="D42" s="17"/>
      <c r="E42" s="17"/>
      <c r="F42" s="17"/>
      <c r="G42" s="17"/>
      <c r="H42" s="17"/>
    </row>
    <row r="43" spans="1:8" ht="15.75" customHeight="1" x14ac:dyDescent="0.25">
      <c r="A43" s="17"/>
      <c r="B43" s="17"/>
      <c r="C43" s="17"/>
      <c r="D43" s="17"/>
      <c r="E43" s="17"/>
      <c r="F43" s="17"/>
      <c r="G43" s="17"/>
      <c r="H43" s="17"/>
    </row>
    <row r="44" spans="1:8" ht="15.75" customHeight="1" x14ac:dyDescent="0.25">
      <c r="A44" s="17"/>
      <c r="B44" s="17"/>
      <c r="C44" s="17"/>
      <c r="D44" s="17"/>
      <c r="E44" s="17"/>
      <c r="F44" s="17"/>
      <c r="G44" s="17"/>
      <c r="H44" s="17"/>
    </row>
    <row r="45" spans="1:8" ht="15.75" customHeight="1" x14ac:dyDescent="0.25">
      <c r="A45" s="17"/>
      <c r="B45" s="17"/>
      <c r="C45" s="17"/>
      <c r="D45" s="17"/>
      <c r="E45" s="17"/>
      <c r="F45" s="17"/>
      <c r="G45" s="17"/>
      <c r="H45" s="17"/>
    </row>
    <row r="46" spans="1:8" ht="15.75" customHeight="1" x14ac:dyDescent="0.25">
      <c r="A46" s="17"/>
      <c r="B46" s="17"/>
      <c r="C46" s="17"/>
      <c r="D46" s="17"/>
      <c r="E46" s="17"/>
      <c r="F46" s="17"/>
      <c r="G46" s="17"/>
      <c r="H46" s="17"/>
    </row>
    <row r="47" spans="1:8" ht="15.75" customHeight="1" x14ac:dyDescent="0.25">
      <c r="A47" s="17"/>
      <c r="B47" s="17"/>
      <c r="C47" s="17"/>
      <c r="D47" s="17"/>
      <c r="E47" s="17"/>
      <c r="F47" s="17"/>
      <c r="G47" s="17"/>
      <c r="H47" s="17"/>
    </row>
    <row r="48" spans="1:8" ht="15.75" customHeight="1" x14ac:dyDescent="0.25">
      <c r="A48" s="17"/>
      <c r="B48" s="17"/>
      <c r="C48" s="17"/>
      <c r="D48" s="17"/>
      <c r="E48" s="17"/>
      <c r="F48" s="17"/>
      <c r="G48" s="17"/>
      <c r="H48" s="17"/>
    </row>
    <row r="49" spans="1:8" ht="15.75" customHeight="1" x14ac:dyDescent="0.25">
      <c r="A49" s="17"/>
      <c r="B49" s="17"/>
      <c r="C49" s="17"/>
      <c r="D49" s="17"/>
      <c r="E49" s="17"/>
      <c r="F49" s="17"/>
      <c r="G49" s="17"/>
      <c r="H49" s="17"/>
    </row>
    <row r="50" spans="1:8" ht="15.75" customHeight="1" x14ac:dyDescent="0.25">
      <c r="A50" s="17"/>
      <c r="B50" s="17"/>
      <c r="C50" s="17"/>
      <c r="D50" s="17"/>
      <c r="E50" s="17"/>
      <c r="F50" s="17"/>
      <c r="G50" s="17"/>
      <c r="H50" s="17"/>
    </row>
    <row r="51" spans="1:8" ht="15.75" customHeight="1" x14ac:dyDescent="0.25">
      <c r="A51" s="17"/>
      <c r="B51" s="17"/>
      <c r="C51" s="17"/>
      <c r="D51" s="17"/>
      <c r="E51" s="17"/>
      <c r="F51" s="17"/>
      <c r="G51" s="17"/>
      <c r="H51" s="17"/>
    </row>
    <row r="52" spans="1:8" ht="15.75" customHeight="1" x14ac:dyDescent="0.25">
      <c r="A52" s="17"/>
      <c r="B52" s="17"/>
      <c r="C52" s="17"/>
      <c r="D52" s="17"/>
      <c r="E52" s="17"/>
      <c r="F52" s="17"/>
      <c r="G52" s="17"/>
      <c r="H52" s="17"/>
    </row>
    <row r="53" spans="1:8" ht="15.75" customHeight="1" x14ac:dyDescent="0.25">
      <c r="A53" s="17"/>
      <c r="B53" s="17"/>
      <c r="C53" s="17"/>
      <c r="D53" s="17"/>
      <c r="E53" s="17"/>
      <c r="F53" s="17"/>
      <c r="G53" s="17"/>
      <c r="H53" s="17"/>
    </row>
    <row r="54" spans="1:8" ht="15.75" customHeight="1" x14ac:dyDescent="0.25">
      <c r="A54" s="17"/>
      <c r="B54" s="17"/>
      <c r="C54" s="17"/>
      <c r="D54" s="17"/>
      <c r="E54" s="17"/>
      <c r="F54" s="17"/>
      <c r="G54" s="17"/>
      <c r="H54" s="17"/>
    </row>
    <row r="55" spans="1:8" ht="15.75" customHeight="1" x14ac:dyDescent="0.25">
      <c r="A55" s="17"/>
      <c r="B55" s="17"/>
      <c r="C55" s="17"/>
      <c r="D55" s="17"/>
      <c r="E55" s="17"/>
      <c r="F55" s="17"/>
      <c r="G55" s="17"/>
      <c r="H55" s="17"/>
    </row>
    <row r="56" spans="1:8" ht="15.75" customHeight="1" x14ac:dyDescent="0.25">
      <c r="A56" s="17"/>
      <c r="B56" s="17"/>
      <c r="C56" s="17"/>
      <c r="D56" s="17"/>
      <c r="E56" s="17"/>
      <c r="F56" s="17"/>
      <c r="G56" s="17"/>
      <c r="H56" s="17"/>
    </row>
    <row r="57" spans="1:8" ht="15.75" customHeight="1" x14ac:dyDescent="0.25">
      <c r="A57" s="17"/>
      <c r="B57" s="17"/>
      <c r="C57" s="17"/>
      <c r="D57" s="17"/>
      <c r="E57" s="17"/>
      <c r="F57" s="17"/>
      <c r="G57" s="17"/>
      <c r="H57" s="17"/>
    </row>
    <row r="58" spans="1:8" ht="15.75" customHeight="1" x14ac:dyDescent="0.25">
      <c r="A58" s="17"/>
      <c r="B58" s="17"/>
      <c r="C58" s="17"/>
      <c r="D58" s="17"/>
      <c r="E58" s="17"/>
      <c r="F58" s="17"/>
      <c r="G58" s="17"/>
      <c r="H58" s="17"/>
    </row>
    <row r="59" spans="1:8" ht="15.75" customHeight="1" x14ac:dyDescent="0.25">
      <c r="A59" s="17"/>
      <c r="B59" s="17"/>
      <c r="C59" s="17"/>
      <c r="D59" s="17"/>
      <c r="E59" s="17"/>
      <c r="F59" s="17"/>
      <c r="G59" s="17"/>
      <c r="H59" s="17"/>
    </row>
    <row r="60" spans="1:8" ht="15.75" customHeight="1" x14ac:dyDescent="0.25">
      <c r="A60" s="17"/>
      <c r="B60" s="17"/>
      <c r="C60" s="17"/>
      <c r="D60" s="17"/>
      <c r="E60" s="17"/>
      <c r="F60" s="17"/>
      <c r="G60" s="17"/>
      <c r="H60" s="17"/>
    </row>
    <row r="61" spans="1:8" ht="15.75" customHeight="1" x14ac:dyDescent="0.25">
      <c r="A61" s="17"/>
      <c r="B61" s="17"/>
      <c r="C61" s="17"/>
      <c r="D61" s="17"/>
      <c r="E61" s="17"/>
      <c r="F61" s="17"/>
      <c r="G61" s="17"/>
      <c r="H61" s="17"/>
    </row>
    <row r="62" spans="1:8" ht="15.75" customHeight="1" x14ac:dyDescent="0.25">
      <c r="A62" s="17"/>
      <c r="B62" s="17"/>
      <c r="C62" s="17"/>
      <c r="D62" s="17"/>
      <c r="E62" s="17"/>
      <c r="F62" s="17"/>
      <c r="G62" s="17"/>
      <c r="H62" s="17"/>
    </row>
    <row r="63" spans="1:8" ht="15.75" customHeight="1" x14ac:dyDescent="0.25">
      <c r="A63" s="17"/>
      <c r="B63" s="17"/>
      <c r="C63" s="17"/>
      <c r="D63" s="17"/>
      <c r="E63" s="17"/>
      <c r="F63" s="17"/>
      <c r="G63" s="17"/>
      <c r="H63" s="17"/>
    </row>
    <row r="64" spans="1:8" ht="15.75" customHeight="1" x14ac:dyDescent="0.25">
      <c r="A64" s="17"/>
      <c r="B64" s="17"/>
      <c r="C64" s="17"/>
      <c r="D64" s="17"/>
      <c r="E64" s="17"/>
      <c r="F64" s="17"/>
      <c r="G64" s="17"/>
      <c r="H64" s="17"/>
    </row>
    <row r="65" spans="1:8" ht="15.75" customHeight="1" x14ac:dyDescent="0.25">
      <c r="A65" s="17"/>
      <c r="B65" s="17"/>
      <c r="C65" s="17"/>
      <c r="D65" s="17"/>
      <c r="E65" s="17"/>
      <c r="F65" s="17"/>
      <c r="G65" s="17"/>
      <c r="H65" s="17"/>
    </row>
    <row r="66" spans="1:8" ht="15.75" customHeight="1" x14ac:dyDescent="0.25">
      <c r="A66" s="17"/>
      <c r="B66" s="17"/>
      <c r="C66" s="17"/>
      <c r="D66" s="17"/>
      <c r="E66" s="17"/>
      <c r="F66" s="17"/>
      <c r="G66" s="17"/>
      <c r="H66" s="17"/>
    </row>
    <row r="67" spans="1:8" ht="15.75" customHeight="1" x14ac:dyDescent="0.25">
      <c r="A67" s="17"/>
      <c r="B67" s="17"/>
      <c r="C67" s="17"/>
      <c r="D67" s="17"/>
      <c r="E67" s="17"/>
      <c r="F67" s="17"/>
      <c r="G67" s="17"/>
      <c r="H67" s="17"/>
    </row>
    <row r="68" spans="1:8" ht="15.75" customHeight="1" x14ac:dyDescent="0.25">
      <c r="A68" s="17"/>
      <c r="B68" s="17"/>
      <c r="C68" s="17"/>
      <c r="D68" s="17"/>
      <c r="E68" s="17"/>
      <c r="F68" s="17"/>
      <c r="G68" s="17"/>
      <c r="H68" s="17"/>
    </row>
    <row r="69" spans="1:8" ht="15.75" customHeight="1" x14ac:dyDescent="0.25">
      <c r="A69" s="17"/>
      <c r="B69" s="17"/>
      <c r="C69" s="17"/>
      <c r="D69" s="17"/>
      <c r="E69" s="17"/>
      <c r="F69" s="17"/>
      <c r="G69" s="17"/>
      <c r="H69" s="17"/>
    </row>
    <row r="70" spans="1:8" ht="15.75" customHeight="1" x14ac:dyDescent="0.25">
      <c r="A70" s="17"/>
      <c r="B70" s="17"/>
      <c r="C70" s="17"/>
      <c r="D70" s="17"/>
      <c r="E70" s="17"/>
      <c r="F70" s="17"/>
      <c r="G70" s="17"/>
      <c r="H70" s="17"/>
    </row>
    <row r="71" spans="1:8" ht="15.75" customHeight="1" x14ac:dyDescent="0.25">
      <c r="A71" s="17"/>
      <c r="B71" s="17"/>
      <c r="C71" s="17"/>
      <c r="D71" s="17"/>
      <c r="E71" s="17"/>
      <c r="F71" s="17"/>
      <c r="G71" s="17"/>
      <c r="H71" s="17"/>
    </row>
    <row r="72" spans="1:8" ht="15.75" customHeight="1" x14ac:dyDescent="0.25">
      <c r="A72" s="17"/>
      <c r="B72" s="17"/>
      <c r="C72" s="17"/>
      <c r="D72" s="17"/>
      <c r="E72" s="17"/>
      <c r="F72" s="17"/>
      <c r="G72" s="17"/>
      <c r="H72" s="17"/>
    </row>
    <row r="73" spans="1:8" ht="15.75" customHeight="1" x14ac:dyDescent="0.25">
      <c r="A73" s="17"/>
      <c r="B73" s="17"/>
      <c r="C73" s="17"/>
      <c r="D73" s="17"/>
      <c r="E73" s="17"/>
      <c r="F73" s="17"/>
      <c r="G73" s="17"/>
      <c r="H73" s="17"/>
    </row>
    <row r="74" spans="1:8" ht="15.75" customHeight="1" x14ac:dyDescent="0.25">
      <c r="A74" s="17"/>
      <c r="B74" s="17"/>
      <c r="C74" s="17"/>
      <c r="D74" s="17"/>
      <c r="E74" s="17"/>
      <c r="F74" s="17"/>
      <c r="G74" s="17"/>
      <c r="H74" s="17"/>
    </row>
    <row r="75" spans="1:8" ht="15.75" customHeight="1" x14ac:dyDescent="0.25">
      <c r="A75" s="17"/>
      <c r="B75" s="17"/>
      <c r="C75" s="17"/>
      <c r="D75" s="17"/>
      <c r="E75" s="17"/>
      <c r="F75" s="17"/>
      <c r="G75" s="17"/>
      <c r="H75" s="17"/>
    </row>
    <row r="76" spans="1:8" ht="15.75" customHeight="1" x14ac:dyDescent="0.25">
      <c r="A76" s="17"/>
      <c r="B76" s="17"/>
      <c r="C76" s="17"/>
      <c r="D76" s="17"/>
      <c r="E76" s="17"/>
      <c r="F76" s="17"/>
      <c r="G76" s="17"/>
      <c r="H76" s="17"/>
    </row>
    <row r="77" spans="1:8" ht="15.75" customHeight="1" x14ac:dyDescent="0.25">
      <c r="A77" s="17"/>
      <c r="B77" s="17"/>
      <c r="C77" s="17"/>
      <c r="D77" s="17"/>
      <c r="E77" s="17"/>
      <c r="F77" s="17"/>
      <c r="G77" s="17"/>
      <c r="H77" s="17"/>
    </row>
    <row r="78" spans="1:8" ht="15.75" customHeight="1" x14ac:dyDescent="0.25">
      <c r="A78" s="17"/>
      <c r="B78" s="17"/>
      <c r="C78" s="17"/>
      <c r="D78" s="17"/>
      <c r="E78" s="17"/>
      <c r="F78" s="17"/>
      <c r="G78" s="17"/>
      <c r="H78" s="17"/>
    </row>
    <row r="79" spans="1:8" ht="15.75" customHeight="1" x14ac:dyDescent="0.25">
      <c r="A79" s="17"/>
      <c r="B79" s="17"/>
      <c r="C79" s="17"/>
      <c r="D79" s="17"/>
      <c r="E79" s="17"/>
      <c r="F79" s="17"/>
      <c r="G79" s="17"/>
      <c r="H79" s="17"/>
    </row>
    <row r="80" spans="1:8" ht="15.75" customHeight="1" x14ac:dyDescent="0.25">
      <c r="A80" s="17"/>
      <c r="B80" s="17"/>
      <c r="C80" s="17"/>
      <c r="D80" s="17"/>
      <c r="E80" s="17"/>
      <c r="F80" s="17"/>
      <c r="G80" s="17"/>
      <c r="H80" s="17"/>
    </row>
    <row r="81" spans="1:8" ht="15.75" customHeight="1" x14ac:dyDescent="0.25">
      <c r="A81" s="17"/>
      <c r="B81" s="17"/>
      <c r="C81" s="17"/>
      <c r="D81" s="17"/>
      <c r="E81" s="17"/>
      <c r="F81" s="17"/>
      <c r="G81" s="17"/>
      <c r="H81" s="17"/>
    </row>
    <row r="82" spans="1:8" ht="15.75" customHeight="1" x14ac:dyDescent="0.25">
      <c r="A82" s="17"/>
      <c r="B82" s="17"/>
      <c r="C82" s="17"/>
      <c r="D82" s="17"/>
      <c r="E82" s="17"/>
      <c r="F82" s="17"/>
      <c r="G82" s="17"/>
      <c r="H82" s="17"/>
    </row>
    <row r="83" spans="1:8" ht="15.75" customHeight="1" x14ac:dyDescent="0.25">
      <c r="A83" s="17"/>
      <c r="B83" s="17"/>
      <c r="C83" s="17"/>
      <c r="D83" s="17"/>
      <c r="E83" s="17"/>
      <c r="F83" s="17"/>
      <c r="G83" s="17"/>
      <c r="H83" s="17"/>
    </row>
    <row r="84" spans="1:8" ht="15.75" customHeight="1" x14ac:dyDescent="0.25">
      <c r="A84" s="17"/>
      <c r="B84" s="17"/>
      <c r="C84" s="17"/>
      <c r="D84" s="17"/>
      <c r="E84" s="17"/>
      <c r="F84" s="17"/>
      <c r="G84" s="17"/>
      <c r="H84" s="17"/>
    </row>
    <row r="85" spans="1:8" ht="15.75" customHeight="1" x14ac:dyDescent="0.25">
      <c r="A85" s="17"/>
      <c r="B85" s="17"/>
      <c r="C85" s="17"/>
      <c r="D85" s="17"/>
      <c r="E85" s="17"/>
      <c r="F85" s="17"/>
      <c r="G85" s="17"/>
      <c r="H85" s="17"/>
    </row>
    <row r="86" spans="1:8" ht="15.75" customHeight="1" x14ac:dyDescent="0.25">
      <c r="A86" s="17"/>
      <c r="B86" s="17"/>
      <c r="C86" s="17"/>
      <c r="D86" s="17"/>
      <c r="E86" s="17"/>
      <c r="F86" s="17"/>
      <c r="G86" s="17"/>
      <c r="H86" s="17"/>
    </row>
    <row r="87" spans="1:8" ht="15.75" customHeight="1" x14ac:dyDescent="0.25">
      <c r="A87" s="17"/>
      <c r="B87" s="17"/>
      <c r="C87" s="17"/>
      <c r="D87" s="17"/>
      <c r="E87" s="17"/>
      <c r="F87" s="17"/>
      <c r="G87" s="17"/>
      <c r="H87" s="17"/>
    </row>
    <row r="88" spans="1:8" ht="15.75" customHeight="1" x14ac:dyDescent="0.25">
      <c r="A88" s="17"/>
      <c r="B88" s="17"/>
      <c r="C88" s="17"/>
      <c r="D88" s="17"/>
      <c r="E88" s="17"/>
      <c r="F88" s="17"/>
      <c r="G88" s="17"/>
      <c r="H88" s="17"/>
    </row>
    <row r="89" spans="1:8" ht="15.75" customHeight="1" x14ac:dyDescent="0.25">
      <c r="A89" s="17"/>
      <c r="B89" s="17"/>
      <c r="C89" s="17"/>
      <c r="D89" s="17"/>
      <c r="E89" s="17"/>
      <c r="F89" s="17"/>
      <c r="G89" s="17"/>
      <c r="H89" s="17"/>
    </row>
    <row r="90" spans="1:8" ht="15.75" customHeight="1" x14ac:dyDescent="0.25">
      <c r="A90" s="17"/>
      <c r="B90" s="17"/>
      <c r="C90" s="17"/>
      <c r="D90" s="17"/>
      <c r="E90" s="17"/>
      <c r="F90" s="17"/>
      <c r="G90" s="17"/>
      <c r="H90" s="17"/>
    </row>
    <row r="91" spans="1:8" ht="15.75" customHeight="1" x14ac:dyDescent="0.25">
      <c r="A91" s="17"/>
      <c r="B91" s="17"/>
      <c r="C91" s="17"/>
      <c r="D91" s="17"/>
      <c r="E91" s="17"/>
      <c r="F91" s="17"/>
      <c r="G91" s="17"/>
      <c r="H91" s="17"/>
    </row>
    <row r="92" spans="1:8" ht="15.75" customHeight="1" x14ac:dyDescent="0.25">
      <c r="A92" s="17"/>
      <c r="B92" s="17"/>
      <c r="C92" s="17"/>
      <c r="D92" s="17"/>
      <c r="E92" s="17"/>
      <c r="F92" s="17"/>
      <c r="G92" s="17"/>
      <c r="H92" s="17"/>
    </row>
    <row r="93" spans="1:8" ht="15.75" customHeight="1" x14ac:dyDescent="0.25">
      <c r="A93" s="17"/>
      <c r="B93" s="17"/>
      <c r="C93" s="17"/>
      <c r="D93" s="17"/>
      <c r="E93" s="17"/>
      <c r="F93" s="17"/>
      <c r="G93" s="17"/>
      <c r="H93" s="17"/>
    </row>
    <row r="94" spans="1:8" ht="15.75" customHeight="1" x14ac:dyDescent="0.25">
      <c r="A94" s="17"/>
      <c r="B94" s="17"/>
      <c r="C94" s="17"/>
      <c r="D94" s="17"/>
      <c r="E94" s="17"/>
      <c r="F94" s="17"/>
      <c r="G94" s="17"/>
      <c r="H94" s="17"/>
    </row>
    <row r="95" spans="1:8" ht="15.75" customHeight="1" x14ac:dyDescent="0.25">
      <c r="A95" s="17"/>
      <c r="B95" s="17"/>
      <c r="C95" s="17"/>
      <c r="D95" s="17"/>
      <c r="E95" s="17"/>
      <c r="F95" s="17"/>
      <c r="G95" s="17"/>
      <c r="H95" s="17"/>
    </row>
    <row r="96" spans="1:8" ht="15.75" customHeight="1" x14ac:dyDescent="0.25">
      <c r="A96" s="17"/>
      <c r="B96" s="17"/>
      <c r="C96" s="17"/>
      <c r="D96" s="17"/>
      <c r="E96" s="17"/>
      <c r="F96" s="17"/>
      <c r="G96" s="17"/>
      <c r="H96" s="17"/>
    </row>
    <row r="97" spans="1:8" ht="15.75" customHeight="1" x14ac:dyDescent="0.25">
      <c r="A97" s="17"/>
      <c r="B97" s="17"/>
      <c r="C97" s="17"/>
      <c r="D97" s="17"/>
      <c r="E97" s="17"/>
      <c r="F97" s="17"/>
      <c r="G97" s="17"/>
      <c r="H97" s="17"/>
    </row>
    <row r="98" spans="1:8" ht="15.75" customHeight="1" x14ac:dyDescent="0.25">
      <c r="A98" s="17"/>
      <c r="B98" s="17"/>
      <c r="C98" s="17"/>
      <c r="D98" s="17"/>
      <c r="E98" s="17"/>
      <c r="F98" s="17"/>
      <c r="G98" s="17"/>
      <c r="H98" s="17"/>
    </row>
    <row r="99" spans="1:8" ht="15.75" customHeight="1" x14ac:dyDescent="0.25">
      <c r="A99" s="17"/>
      <c r="B99" s="17"/>
      <c r="C99" s="17"/>
      <c r="D99" s="17"/>
      <c r="E99" s="17"/>
      <c r="F99" s="17"/>
      <c r="G99" s="17"/>
      <c r="H99" s="17"/>
    </row>
    <row r="100" spans="1:8" ht="15.75" customHeight="1" x14ac:dyDescent="0.25">
      <c r="A100" s="17"/>
      <c r="B100" s="17"/>
      <c r="C100" s="17"/>
      <c r="D100" s="17"/>
      <c r="E100" s="17"/>
      <c r="F100" s="17"/>
      <c r="G100" s="17"/>
      <c r="H100" s="17"/>
    </row>
  </sheetData>
  <mergeCells count="19">
    <mergeCell ref="A1:H1"/>
    <mergeCell ref="A2:B2"/>
    <mergeCell ref="C2:D2"/>
    <mergeCell ref="E2:F2"/>
    <mergeCell ref="G2:H2"/>
    <mergeCell ref="A5:H5"/>
    <mergeCell ref="A32:D32"/>
    <mergeCell ref="A33:D33"/>
    <mergeCell ref="A34:D34"/>
    <mergeCell ref="C3:D3"/>
    <mergeCell ref="A17:D17"/>
    <mergeCell ref="A18:D18"/>
    <mergeCell ref="A19:D19"/>
    <mergeCell ref="A21:H21"/>
    <mergeCell ref="A29:D29"/>
    <mergeCell ref="A31:H31"/>
    <mergeCell ref="E3:F3"/>
    <mergeCell ref="G3:H3"/>
    <mergeCell ref="A3:B3"/>
  </mergeCells>
  <pageMargins left="0.75" right="0.75" top="1" bottom="1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2E86AB"/>
  </sheetPr>
  <dimension ref="A1:H100"/>
  <sheetViews>
    <sheetView workbookViewId="0">
      <selection sqref="A1:H1"/>
    </sheetView>
  </sheetViews>
  <sheetFormatPr defaultColWidth="14.42578125" defaultRowHeight="15" customHeight="1" x14ac:dyDescent="0.25"/>
  <cols>
    <col min="1" max="1" width="10" customWidth="1"/>
    <col min="2" max="2" width="26" customWidth="1"/>
    <col min="3" max="7" width="16" customWidth="1"/>
    <col min="8" max="8" width="20" customWidth="1"/>
  </cols>
  <sheetData>
    <row r="1" spans="1:8" ht="27.75" customHeight="1" x14ac:dyDescent="0.25">
      <c r="A1" s="163" t="s">
        <v>221</v>
      </c>
      <c r="B1" s="146"/>
      <c r="C1" s="146"/>
      <c r="D1" s="146"/>
      <c r="E1" s="146"/>
      <c r="F1" s="146"/>
      <c r="G1" s="146"/>
      <c r="H1" s="147"/>
    </row>
    <row r="2" spans="1:8" ht="18" customHeight="1" x14ac:dyDescent="0.25">
      <c r="A2" s="164" t="s">
        <v>34</v>
      </c>
      <c r="B2" s="147"/>
      <c r="C2" s="164" t="s">
        <v>35</v>
      </c>
      <c r="D2" s="147"/>
      <c r="E2" s="164" t="s">
        <v>36</v>
      </c>
      <c r="F2" s="147"/>
      <c r="G2" s="164" t="s">
        <v>37</v>
      </c>
      <c r="H2" s="147"/>
    </row>
    <row r="3" spans="1:8" ht="21.75" customHeight="1" x14ac:dyDescent="0.25">
      <c r="A3" s="162">
        <f>E29</f>
        <v>4275</v>
      </c>
      <c r="B3" s="147"/>
      <c r="C3" s="154">
        <f>E19</f>
        <v>3080</v>
      </c>
      <c r="D3" s="147"/>
      <c r="E3" s="160">
        <f>E29-E19</f>
        <v>1195</v>
      </c>
      <c r="F3" s="147"/>
      <c r="G3" s="161">
        <f>IF(E29&gt;0,(E29-E19)/E29,0)</f>
        <v>0.27953216374269008</v>
      </c>
      <c r="H3" s="147"/>
    </row>
    <row r="4" spans="1:8" ht="14.25" customHeight="1" x14ac:dyDescent="0.25">
      <c r="A4" s="17"/>
      <c r="B4" s="17"/>
      <c r="C4" s="17"/>
      <c r="D4" s="17"/>
      <c r="E4" s="17"/>
      <c r="F4" s="17"/>
      <c r="G4" s="17"/>
      <c r="H4" s="17"/>
    </row>
    <row r="5" spans="1:8" ht="19.5" customHeight="1" x14ac:dyDescent="0.25">
      <c r="A5" s="150" t="s">
        <v>222</v>
      </c>
      <c r="B5" s="146"/>
      <c r="C5" s="146"/>
      <c r="D5" s="146"/>
      <c r="E5" s="146"/>
      <c r="F5" s="146"/>
      <c r="G5" s="146"/>
      <c r="H5" s="147"/>
    </row>
    <row r="6" spans="1:8" ht="15" customHeight="1" x14ac:dyDescent="0.25">
      <c r="A6" s="36" t="s">
        <v>22</v>
      </c>
      <c r="B6" s="36" t="s">
        <v>39</v>
      </c>
      <c r="C6" s="36" t="s">
        <v>40</v>
      </c>
      <c r="D6" s="36" t="s">
        <v>41</v>
      </c>
      <c r="E6" s="36" t="s">
        <v>42</v>
      </c>
      <c r="F6" s="36" t="s">
        <v>43</v>
      </c>
      <c r="G6" s="36" t="s">
        <v>44</v>
      </c>
      <c r="H6" s="36"/>
    </row>
    <row r="7" spans="1:8" ht="15" customHeight="1" x14ac:dyDescent="0.25">
      <c r="A7" s="37" t="s">
        <v>223</v>
      </c>
      <c r="B7" s="38" t="s">
        <v>46</v>
      </c>
      <c r="C7" s="37" t="s">
        <v>167</v>
      </c>
      <c r="D7" s="37" t="s">
        <v>48</v>
      </c>
      <c r="E7" s="39">
        <v>86</v>
      </c>
      <c r="F7" s="37"/>
      <c r="G7" s="37"/>
      <c r="H7" s="37"/>
    </row>
    <row r="8" spans="1:8" ht="15" customHeight="1" x14ac:dyDescent="0.25">
      <c r="A8" s="40" t="s">
        <v>223</v>
      </c>
      <c r="B8" s="41" t="s">
        <v>49</v>
      </c>
      <c r="C8" s="40"/>
      <c r="D8" s="40" t="s">
        <v>50</v>
      </c>
      <c r="E8" s="42">
        <v>216</v>
      </c>
      <c r="F8" s="40"/>
      <c r="G8" s="40"/>
      <c r="H8" s="40"/>
    </row>
    <row r="9" spans="1:8" ht="15" customHeight="1" x14ac:dyDescent="0.25">
      <c r="A9" s="37" t="s">
        <v>223</v>
      </c>
      <c r="B9" s="38" t="s">
        <v>51</v>
      </c>
      <c r="C9" s="37"/>
      <c r="D9" s="37" t="s">
        <v>50</v>
      </c>
      <c r="E9" s="39">
        <v>230</v>
      </c>
      <c r="F9" s="37"/>
      <c r="G9" s="37"/>
      <c r="H9" s="37"/>
    </row>
    <row r="10" spans="1:8" ht="15" customHeight="1" x14ac:dyDescent="0.25">
      <c r="A10" s="40" t="s">
        <v>223</v>
      </c>
      <c r="B10" s="41" t="s">
        <v>52</v>
      </c>
      <c r="C10" s="40"/>
      <c r="D10" s="40" t="s">
        <v>50</v>
      </c>
      <c r="E10" s="42">
        <v>95</v>
      </c>
      <c r="F10" s="40"/>
      <c r="G10" s="40"/>
      <c r="H10" s="40"/>
    </row>
    <row r="11" spans="1:8" ht="15" customHeight="1" x14ac:dyDescent="0.25">
      <c r="A11" s="37" t="s">
        <v>223</v>
      </c>
      <c r="B11" s="38" t="s">
        <v>53</v>
      </c>
      <c r="C11" s="37"/>
      <c r="D11" s="37" t="s">
        <v>50</v>
      </c>
      <c r="E11" s="39">
        <v>120</v>
      </c>
      <c r="F11" s="37"/>
      <c r="G11" s="37"/>
      <c r="H11" s="37"/>
    </row>
    <row r="12" spans="1:8" ht="15" customHeight="1" x14ac:dyDescent="0.25">
      <c r="A12" s="40" t="s">
        <v>223</v>
      </c>
      <c r="B12" s="41" t="s">
        <v>54</v>
      </c>
      <c r="C12" s="40"/>
      <c r="D12" s="40" t="s">
        <v>50</v>
      </c>
      <c r="E12" s="42">
        <v>288</v>
      </c>
      <c r="F12" s="40"/>
      <c r="G12" s="40"/>
      <c r="H12" s="40"/>
    </row>
    <row r="13" spans="1:8" ht="15" customHeight="1" x14ac:dyDescent="0.25">
      <c r="A13" s="37" t="s">
        <v>223</v>
      </c>
      <c r="B13" s="38" t="s">
        <v>55</v>
      </c>
      <c r="C13" s="37"/>
      <c r="D13" s="37" t="s">
        <v>50</v>
      </c>
      <c r="E13" s="39">
        <v>135</v>
      </c>
      <c r="F13" s="37"/>
      <c r="G13" s="37"/>
      <c r="H13" s="37"/>
    </row>
    <row r="14" spans="1:8" ht="15" customHeight="1" x14ac:dyDescent="0.25">
      <c r="A14" s="40" t="s">
        <v>223</v>
      </c>
      <c r="B14" s="40" t="s">
        <v>126</v>
      </c>
      <c r="C14" s="31"/>
      <c r="D14" s="40" t="s">
        <v>50</v>
      </c>
      <c r="E14" s="107">
        <f>'💳 Empréstimo'!F29</f>
        <v>560</v>
      </c>
      <c r="F14" s="31"/>
      <c r="G14" s="40" t="s">
        <v>224</v>
      </c>
      <c r="H14" s="31"/>
    </row>
    <row r="15" spans="1:8" ht="15" customHeight="1" x14ac:dyDescent="0.25">
      <c r="A15" s="31"/>
      <c r="B15" s="31"/>
      <c r="C15" s="31"/>
      <c r="D15" s="31"/>
      <c r="E15" s="29"/>
      <c r="F15" s="31"/>
      <c r="G15" s="31"/>
      <c r="H15" s="31"/>
    </row>
    <row r="16" spans="1:8" ht="15" customHeight="1" x14ac:dyDescent="0.25">
      <c r="A16" s="31"/>
      <c r="B16" s="31"/>
      <c r="C16" s="31"/>
      <c r="D16" s="31"/>
      <c r="E16" s="29"/>
      <c r="F16" s="31"/>
      <c r="G16" s="31"/>
      <c r="H16" s="31"/>
    </row>
    <row r="17" spans="1:8" ht="15" customHeight="1" x14ac:dyDescent="0.25">
      <c r="A17" s="155" t="s">
        <v>56</v>
      </c>
      <c r="B17" s="152"/>
      <c r="C17" s="152"/>
      <c r="D17" s="153"/>
      <c r="E17" s="43">
        <f>SUM(E7:E16)</f>
        <v>1730</v>
      </c>
      <c r="F17" s="44"/>
      <c r="G17" s="44"/>
      <c r="H17" s="44"/>
    </row>
    <row r="18" spans="1:8" ht="15" customHeight="1" x14ac:dyDescent="0.25">
      <c r="A18" s="156" t="s">
        <v>57</v>
      </c>
      <c r="B18" s="152"/>
      <c r="C18" s="152"/>
      <c r="D18" s="153"/>
      <c r="E18" s="45">
        <v>1350</v>
      </c>
      <c r="F18" s="44"/>
      <c r="G18" s="44"/>
      <c r="H18" s="44"/>
    </row>
    <row r="19" spans="1:8" ht="15" customHeight="1" x14ac:dyDescent="0.25">
      <c r="A19" s="157" t="s">
        <v>58</v>
      </c>
      <c r="B19" s="152"/>
      <c r="C19" s="152"/>
      <c r="D19" s="153"/>
      <c r="E19" s="46">
        <f>E17+E18</f>
        <v>3080</v>
      </c>
      <c r="F19" s="47"/>
      <c r="G19" s="47"/>
      <c r="H19" s="47"/>
    </row>
    <row r="20" spans="1:8" ht="14.25" customHeight="1" x14ac:dyDescent="0.25">
      <c r="A20" s="17"/>
      <c r="B20" s="17"/>
      <c r="C20" s="17"/>
      <c r="D20" s="17"/>
      <c r="E20" s="17"/>
      <c r="F20" s="17"/>
      <c r="G20" s="17"/>
      <c r="H20" s="17"/>
    </row>
    <row r="21" spans="1:8" ht="19.5" customHeight="1" x14ac:dyDescent="0.25">
      <c r="A21" s="158" t="s">
        <v>225</v>
      </c>
      <c r="B21" s="146"/>
      <c r="C21" s="146"/>
      <c r="D21" s="146"/>
      <c r="E21" s="146"/>
      <c r="F21" s="146"/>
      <c r="G21" s="146"/>
      <c r="H21" s="147"/>
    </row>
    <row r="22" spans="1:8" ht="15" customHeight="1" x14ac:dyDescent="0.25">
      <c r="A22" s="48" t="s">
        <v>22</v>
      </c>
      <c r="B22" s="48" t="s">
        <v>39</v>
      </c>
      <c r="C22" s="48" t="s">
        <v>40</v>
      </c>
      <c r="D22" s="48" t="s">
        <v>41</v>
      </c>
      <c r="E22" s="48" t="s">
        <v>42</v>
      </c>
      <c r="F22" s="48" t="s">
        <v>60</v>
      </c>
      <c r="G22" s="48" t="s">
        <v>44</v>
      </c>
      <c r="H22" s="48"/>
    </row>
    <row r="23" spans="1:8" ht="15" customHeight="1" x14ac:dyDescent="0.25">
      <c r="A23" s="49" t="s">
        <v>223</v>
      </c>
      <c r="B23" s="50" t="s">
        <v>61</v>
      </c>
      <c r="C23" s="49" t="s">
        <v>62</v>
      </c>
      <c r="D23" s="49" t="s">
        <v>50</v>
      </c>
      <c r="E23" s="51">
        <v>1475</v>
      </c>
      <c r="F23" s="49"/>
      <c r="G23" s="49"/>
      <c r="H23" s="49"/>
    </row>
    <row r="24" spans="1:8" ht="15" customHeight="1" x14ac:dyDescent="0.25">
      <c r="A24" s="52" t="s">
        <v>223</v>
      </c>
      <c r="B24" s="53" t="s">
        <v>63</v>
      </c>
      <c r="C24" s="52" t="s">
        <v>62</v>
      </c>
      <c r="D24" s="52" t="s">
        <v>50</v>
      </c>
      <c r="E24" s="54">
        <v>1300</v>
      </c>
      <c r="F24" s="52"/>
      <c r="G24" s="52"/>
      <c r="H24" s="52"/>
    </row>
    <row r="25" spans="1:8" ht="15" customHeight="1" x14ac:dyDescent="0.25">
      <c r="A25" s="49" t="s">
        <v>223</v>
      </c>
      <c r="B25" s="50" t="s">
        <v>64</v>
      </c>
      <c r="C25" s="49" t="s">
        <v>62</v>
      </c>
      <c r="D25" s="49" t="s">
        <v>50</v>
      </c>
      <c r="E25" s="51">
        <v>1500</v>
      </c>
      <c r="F25" s="49"/>
      <c r="G25" s="49"/>
      <c r="H25" s="49"/>
    </row>
    <row r="26" spans="1:8" ht="15" customHeight="1" x14ac:dyDescent="0.25">
      <c r="A26" s="52"/>
      <c r="B26" s="53"/>
      <c r="C26" s="52"/>
      <c r="D26" s="52"/>
      <c r="E26" s="54"/>
      <c r="F26" s="52"/>
      <c r="G26" s="52"/>
      <c r="H26" s="52"/>
    </row>
    <row r="27" spans="1:8" ht="15" customHeight="1" x14ac:dyDescent="0.25">
      <c r="A27" s="55"/>
      <c r="B27" s="55"/>
      <c r="C27" s="55"/>
      <c r="D27" s="55"/>
      <c r="E27" s="56"/>
      <c r="F27" s="55"/>
      <c r="G27" s="55"/>
      <c r="H27" s="55"/>
    </row>
    <row r="28" spans="1:8" ht="15" customHeight="1" x14ac:dyDescent="0.25">
      <c r="A28" s="55"/>
      <c r="B28" s="55"/>
      <c r="C28" s="55"/>
      <c r="D28" s="55"/>
      <c r="E28" s="56"/>
      <c r="F28" s="55"/>
      <c r="G28" s="55"/>
      <c r="H28" s="55"/>
    </row>
    <row r="29" spans="1:8" ht="15" customHeight="1" x14ac:dyDescent="0.25">
      <c r="A29" s="157" t="s">
        <v>66</v>
      </c>
      <c r="B29" s="152"/>
      <c r="C29" s="152"/>
      <c r="D29" s="153"/>
      <c r="E29" s="46">
        <f>SUM(E23:E28)</f>
        <v>4275</v>
      </c>
      <c r="F29" s="47"/>
      <c r="G29" s="47"/>
      <c r="H29" s="47"/>
    </row>
    <row r="30" spans="1:8" ht="15.75" customHeight="1" x14ac:dyDescent="0.25">
      <c r="A30" s="17"/>
      <c r="B30" s="17"/>
      <c r="C30" s="17"/>
      <c r="D30" s="17"/>
      <c r="E30" s="17"/>
      <c r="F30" s="17"/>
      <c r="G30" s="17"/>
      <c r="H30" s="17"/>
    </row>
    <row r="31" spans="1:8" ht="19.5" customHeight="1" x14ac:dyDescent="0.25">
      <c r="A31" s="159" t="s">
        <v>67</v>
      </c>
      <c r="B31" s="146"/>
      <c r="C31" s="146"/>
      <c r="D31" s="146"/>
      <c r="E31" s="146"/>
      <c r="F31" s="146"/>
      <c r="G31" s="146"/>
      <c r="H31" s="147"/>
    </row>
    <row r="32" spans="1:8" ht="15" customHeight="1" x14ac:dyDescent="0.25">
      <c r="A32" s="151" t="s">
        <v>68</v>
      </c>
      <c r="B32" s="152"/>
      <c r="C32" s="152"/>
      <c r="D32" s="153"/>
      <c r="E32" s="57">
        <f>E29-E19</f>
        <v>1195</v>
      </c>
      <c r="F32" s="58"/>
      <c r="G32" s="58"/>
      <c r="H32" s="58"/>
    </row>
    <row r="33" spans="1:8" ht="15" customHeight="1" x14ac:dyDescent="0.25">
      <c r="A33" s="151" t="s">
        <v>76</v>
      </c>
      <c r="B33" s="152"/>
      <c r="C33" s="152"/>
      <c r="D33" s="153"/>
      <c r="E33" s="57">
        <f>0.7*(E29-E19)</f>
        <v>836.5</v>
      </c>
      <c r="F33" s="58"/>
      <c r="G33" s="58"/>
      <c r="H33" s="58"/>
    </row>
    <row r="34" spans="1:8" ht="15" customHeight="1" x14ac:dyDescent="0.25">
      <c r="A34" s="151" t="s">
        <v>70</v>
      </c>
      <c r="B34" s="152"/>
      <c r="C34" s="152"/>
      <c r="D34" s="153"/>
      <c r="E34" s="57">
        <f>E19/6</f>
        <v>513.33333333333337</v>
      </c>
      <c r="F34" s="58"/>
      <c r="G34" s="58"/>
      <c r="H34" s="58"/>
    </row>
    <row r="35" spans="1:8" ht="15.75" customHeight="1" x14ac:dyDescent="0.25">
      <c r="A35" s="17"/>
      <c r="B35" s="17"/>
      <c r="C35" s="17"/>
      <c r="D35" s="17"/>
      <c r="E35" s="17"/>
      <c r="F35" s="17"/>
      <c r="G35" s="17"/>
      <c r="H35" s="17"/>
    </row>
    <row r="36" spans="1:8" ht="15.75" customHeight="1" x14ac:dyDescent="0.25">
      <c r="A36" s="17"/>
      <c r="B36" s="17"/>
      <c r="C36" s="17"/>
      <c r="D36" s="17"/>
      <c r="E36" s="17"/>
      <c r="F36" s="17"/>
      <c r="G36" s="17"/>
      <c r="H36" s="17"/>
    </row>
    <row r="37" spans="1:8" ht="15.75" customHeight="1" x14ac:dyDescent="0.25">
      <c r="A37" s="17"/>
      <c r="B37" s="17"/>
      <c r="C37" s="17"/>
      <c r="D37" s="17"/>
      <c r="E37" s="17"/>
      <c r="F37" s="17"/>
      <c r="G37" s="17"/>
      <c r="H37" s="17"/>
    </row>
    <row r="38" spans="1:8" ht="15.75" customHeight="1" x14ac:dyDescent="0.25">
      <c r="A38" s="17"/>
      <c r="B38" s="17"/>
      <c r="C38" s="17"/>
      <c r="D38" s="17"/>
      <c r="E38" s="17"/>
      <c r="F38" s="17"/>
      <c r="G38" s="17"/>
      <c r="H38" s="17"/>
    </row>
    <row r="39" spans="1:8" ht="15.75" customHeight="1" x14ac:dyDescent="0.25">
      <c r="A39" s="17"/>
      <c r="B39" s="17"/>
      <c r="C39" s="17"/>
      <c r="D39" s="17"/>
      <c r="E39" s="17"/>
      <c r="F39" s="17"/>
      <c r="G39" s="17"/>
      <c r="H39" s="17"/>
    </row>
    <row r="40" spans="1:8" ht="15.75" customHeight="1" x14ac:dyDescent="0.25">
      <c r="A40" s="17"/>
      <c r="B40" s="17"/>
      <c r="C40" s="17"/>
      <c r="D40" s="17"/>
      <c r="E40" s="17"/>
      <c r="F40" s="17"/>
      <c r="G40" s="17"/>
      <c r="H40" s="17"/>
    </row>
    <row r="41" spans="1:8" ht="15.75" customHeight="1" x14ac:dyDescent="0.25">
      <c r="A41" s="17"/>
      <c r="B41" s="17"/>
      <c r="C41" s="17"/>
      <c r="D41" s="17"/>
      <c r="E41" s="17"/>
      <c r="F41" s="17"/>
      <c r="G41" s="17"/>
      <c r="H41" s="17"/>
    </row>
    <row r="42" spans="1:8" ht="15.75" customHeight="1" x14ac:dyDescent="0.25">
      <c r="A42" s="17"/>
      <c r="B42" s="17"/>
      <c r="C42" s="17"/>
      <c r="D42" s="17"/>
      <c r="E42" s="17"/>
      <c r="F42" s="17"/>
      <c r="G42" s="17"/>
      <c r="H42" s="17"/>
    </row>
    <row r="43" spans="1:8" ht="15.75" customHeight="1" x14ac:dyDescent="0.25">
      <c r="A43" s="17"/>
      <c r="B43" s="17"/>
      <c r="C43" s="17"/>
      <c r="D43" s="17"/>
      <c r="E43" s="17"/>
      <c r="F43" s="17"/>
      <c r="G43" s="17"/>
      <c r="H43" s="17"/>
    </row>
    <row r="44" spans="1:8" ht="15.75" customHeight="1" x14ac:dyDescent="0.25">
      <c r="A44" s="17"/>
      <c r="B44" s="17"/>
      <c r="C44" s="17"/>
      <c r="D44" s="17"/>
      <c r="E44" s="17"/>
      <c r="F44" s="17"/>
      <c r="G44" s="17"/>
      <c r="H44" s="17"/>
    </row>
    <row r="45" spans="1:8" ht="15.75" customHeight="1" x14ac:dyDescent="0.25">
      <c r="A45" s="17"/>
      <c r="B45" s="17"/>
      <c r="C45" s="17"/>
      <c r="D45" s="17"/>
      <c r="E45" s="17"/>
      <c r="F45" s="17"/>
      <c r="G45" s="17"/>
      <c r="H45" s="17"/>
    </row>
    <row r="46" spans="1:8" ht="15.75" customHeight="1" x14ac:dyDescent="0.25">
      <c r="A46" s="17"/>
      <c r="B46" s="17"/>
      <c r="C46" s="17"/>
      <c r="D46" s="17"/>
      <c r="E46" s="17"/>
      <c r="F46" s="17"/>
      <c r="G46" s="17"/>
      <c r="H46" s="17"/>
    </row>
    <row r="47" spans="1:8" ht="15.75" customHeight="1" x14ac:dyDescent="0.25">
      <c r="A47" s="17"/>
      <c r="B47" s="17"/>
      <c r="C47" s="17"/>
      <c r="D47" s="17"/>
      <c r="E47" s="17"/>
      <c r="F47" s="17"/>
      <c r="G47" s="17"/>
      <c r="H47" s="17"/>
    </row>
    <row r="48" spans="1:8" ht="15.75" customHeight="1" x14ac:dyDescent="0.25">
      <c r="A48" s="17"/>
      <c r="B48" s="17"/>
      <c r="C48" s="17"/>
      <c r="D48" s="17"/>
      <c r="E48" s="17"/>
      <c r="F48" s="17"/>
      <c r="G48" s="17"/>
      <c r="H48" s="17"/>
    </row>
    <row r="49" spans="1:8" ht="15.75" customHeight="1" x14ac:dyDescent="0.25">
      <c r="A49" s="17"/>
      <c r="B49" s="17"/>
      <c r="C49" s="17"/>
      <c r="D49" s="17"/>
      <c r="E49" s="17"/>
      <c r="F49" s="17"/>
      <c r="G49" s="17"/>
      <c r="H49" s="17"/>
    </row>
    <row r="50" spans="1:8" ht="15.75" customHeight="1" x14ac:dyDescent="0.25">
      <c r="A50" s="17"/>
      <c r="B50" s="17"/>
      <c r="C50" s="17"/>
      <c r="D50" s="17"/>
      <c r="E50" s="17"/>
      <c r="F50" s="17"/>
      <c r="G50" s="17"/>
      <c r="H50" s="17"/>
    </row>
    <row r="51" spans="1:8" ht="15.75" customHeight="1" x14ac:dyDescent="0.25">
      <c r="A51" s="17"/>
      <c r="B51" s="17"/>
      <c r="C51" s="17"/>
      <c r="D51" s="17"/>
      <c r="E51" s="17"/>
      <c r="F51" s="17"/>
      <c r="G51" s="17"/>
      <c r="H51" s="17"/>
    </row>
    <row r="52" spans="1:8" ht="15.75" customHeight="1" x14ac:dyDescent="0.25">
      <c r="A52" s="17"/>
      <c r="B52" s="17"/>
      <c r="C52" s="17"/>
      <c r="D52" s="17"/>
      <c r="E52" s="17"/>
      <c r="F52" s="17"/>
      <c r="G52" s="17"/>
      <c r="H52" s="17"/>
    </row>
    <row r="53" spans="1:8" ht="15.75" customHeight="1" x14ac:dyDescent="0.25">
      <c r="A53" s="17"/>
      <c r="B53" s="17"/>
      <c r="C53" s="17"/>
      <c r="D53" s="17"/>
      <c r="E53" s="17"/>
      <c r="F53" s="17"/>
      <c r="G53" s="17"/>
      <c r="H53" s="17"/>
    </row>
    <row r="54" spans="1:8" ht="15.75" customHeight="1" x14ac:dyDescent="0.25">
      <c r="A54" s="17"/>
      <c r="B54" s="17"/>
      <c r="C54" s="17"/>
      <c r="D54" s="17"/>
      <c r="E54" s="17"/>
      <c r="F54" s="17"/>
      <c r="G54" s="17"/>
      <c r="H54" s="17"/>
    </row>
    <row r="55" spans="1:8" ht="15.75" customHeight="1" x14ac:dyDescent="0.25">
      <c r="A55" s="17"/>
      <c r="B55" s="17"/>
      <c r="C55" s="17"/>
      <c r="D55" s="17"/>
      <c r="E55" s="17"/>
      <c r="F55" s="17"/>
      <c r="G55" s="17"/>
      <c r="H55" s="17"/>
    </row>
    <row r="56" spans="1:8" ht="15.75" customHeight="1" x14ac:dyDescent="0.25">
      <c r="A56" s="17"/>
      <c r="B56" s="17"/>
      <c r="C56" s="17"/>
      <c r="D56" s="17"/>
      <c r="E56" s="17"/>
      <c r="F56" s="17"/>
      <c r="G56" s="17"/>
      <c r="H56" s="17"/>
    </row>
    <row r="57" spans="1:8" ht="15.75" customHeight="1" x14ac:dyDescent="0.25">
      <c r="A57" s="17"/>
      <c r="B57" s="17"/>
      <c r="C57" s="17"/>
      <c r="D57" s="17"/>
      <c r="E57" s="17"/>
      <c r="F57" s="17"/>
      <c r="G57" s="17"/>
      <c r="H57" s="17"/>
    </row>
    <row r="58" spans="1:8" ht="15.75" customHeight="1" x14ac:dyDescent="0.25">
      <c r="A58" s="17"/>
      <c r="B58" s="17"/>
      <c r="C58" s="17"/>
      <c r="D58" s="17"/>
      <c r="E58" s="17"/>
      <c r="F58" s="17"/>
      <c r="G58" s="17"/>
      <c r="H58" s="17"/>
    </row>
    <row r="59" spans="1:8" ht="15.75" customHeight="1" x14ac:dyDescent="0.25">
      <c r="A59" s="17"/>
      <c r="B59" s="17"/>
      <c r="C59" s="17"/>
      <c r="D59" s="17"/>
      <c r="E59" s="17"/>
      <c r="F59" s="17"/>
      <c r="G59" s="17"/>
      <c r="H59" s="17"/>
    </row>
    <row r="60" spans="1:8" ht="15.75" customHeight="1" x14ac:dyDescent="0.25">
      <c r="A60" s="17"/>
      <c r="B60" s="17"/>
      <c r="C60" s="17"/>
      <c r="D60" s="17"/>
      <c r="E60" s="17"/>
      <c r="F60" s="17"/>
      <c r="G60" s="17"/>
      <c r="H60" s="17"/>
    </row>
    <row r="61" spans="1:8" ht="15.75" customHeight="1" x14ac:dyDescent="0.25">
      <c r="A61" s="17"/>
      <c r="B61" s="17"/>
      <c r="C61" s="17"/>
      <c r="D61" s="17"/>
      <c r="E61" s="17"/>
      <c r="F61" s="17"/>
      <c r="G61" s="17"/>
      <c r="H61" s="17"/>
    </row>
    <row r="62" spans="1:8" ht="15.75" customHeight="1" x14ac:dyDescent="0.25">
      <c r="A62" s="17"/>
      <c r="B62" s="17"/>
      <c r="C62" s="17"/>
      <c r="D62" s="17"/>
      <c r="E62" s="17"/>
      <c r="F62" s="17"/>
      <c r="G62" s="17"/>
      <c r="H62" s="17"/>
    </row>
    <row r="63" spans="1:8" ht="15.75" customHeight="1" x14ac:dyDescent="0.25">
      <c r="A63" s="17"/>
      <c r="B63" s="17"/>
      <c r="C63" s="17"/>
      <c r="D63" s="17"/>
      <c r="E63" s="17"/>
      <c r="F63" s="17"/>
      <c r="G63" s="17"/>
      <c r="H63" s="17"/>
    </row>
    <row r="64" spans="1:8" ht="15.75" customHeight="1" x14ac:dyDescent="0.25">
      <c r="A64" s="17"/>
      <c r="B64" s="17"/>
      <c r="C64" s="17"/>
      <c r="D64" s="17"/>
      <c r="E64" s="17"/>
      <c r="F64" s="17"/>
      <c r="G64" s="17"/>
      <c r="H64" s="17"/>
    </row>
    <row r="65" spans="1:8" ht="15.75" customHeight="1" x14ac:dyDescent="0.25">
      <c r="A65" s="17"/>
      <c r="B65" s="17"/>
      <c r="C65" s="17"/>
      <c r="D65" s="17"/>
      <c r="E65" s="17"/>
      <c r="F65" s="17"/>
      <c r="G65" s="17"/>
      <c r="H65" s="17"/>
    </row>
    <row r="66" spans="1:8" ht="15.75" customHeight="1" x14ac:dyDescent="0.25">
      <c r="A66" s="17"/>
      <c r="B66" s="17"/>
      <c r="C66" s="17"/>
      <c r="D66" s="17"/>
      <c r="E66" s="17"/>
      <c r="F66" s="17"/>
      <c r="G66" s="17"/>
      <c r="H66" s="17"/>
    </row>
    <row r="67" spans="1:8" ht="15.75" customHeight="1" x14ac:dyDescent="0.25">
      <c r="A67" s="17"/>
      <c r="B67" s="17"/>
      <c r="C67" s="17"/>
      <c r="D67" s="17"/>
      <c r="E67" s="17"/>
      <c r="F67" s="17"/>
      <c r="G67" s="17"/>
      <c r="H67" s="17"/>
    </row>
    <row r="68" spans="1:8" ht="15.75" customHeight="1" x14ac:dyDescent="0.25">
      <c r="A68" s="17"/>
      <c r="B68" s="17"/>
      <c r="C68" s="17"/>
      <c r="D68" s="17"/>
      <c r="E68" s="17"/>
      <c r="F68" s="17"/>
      <c r="G68" s="17"/>
      <c r="H68" s="17"/>
    </row>
    <row r="69" spans="1:8" ht="15.75" customHeight="1" x14ac:dyDescent="0.25">
      <c r="A69" s="17"/>
      <c r="B69" s="17"/>
      <c r="C69" s="17"/>
      <c r="D69" s="17"/>
      <c r="E69" s="17"/>
      <c r="F69" s="17"/>
      <c r="G69" s="17"/>
      <c r="H69" s="17"/>
    </row>
    <row r="70" spans="1:8" ht="15.75" customHeight="1" x14ac:dyDescent="0.25">
      <c r="A70" s="17"/>
      <c r="B70" s="17"/>
      <c r="C70" s="17"/>
      <c r="D70" s="17"/>
      <c r="E70" s="17"/>
      <c r="F70" s="17"/>
      <c r="G70" s="17"/>
      <c r="H70" s="17"/>
    </row>
    <row r="71" spans="1:8" ht="15.75" customHeight="1" x14ac:dyDescent="0.25">
      <c r="A71" s="17"/>
      <c r="B71" s="17"/>
      <c r="C71" s="17"/>
      <c r="D71" s="17"/>
      <c r="E71" s="17"/>
      <c r="F71" s="17"/>
      <c r="G71" s="17"/>
      <c r="H71" s="17"/>
    </row>
    <row r="72" spans="1:8" ht="15.75" customHeight="1" x14ac:dyDescent="0.25">
      <c r="A72" s="17"/>
      <c r="B72" s="17"/>
      <c r="C72" s="17"/>
      <c r="D72" s="17"/>
      <c r="E72" s="17"/>
      <c r="F72" s="17"/>
      <c r="G72" s="17"/>
      <c r="H72" s="17"/>
    </row>
    <row r="73" spans="1:8" ht="15.75" customHeight="1" x14ac:dyDescent="0.25">
      <c r="A73" s="17"/>
      <c r="B73" s="17"/>
      <c r="C73" s="17"/>
      <c r="D73" s="17"/>
      <c r="E73" s="17"/>
      <c r="F73" s="17"/>
      <c r="G73" s="17"/>
      <c r="H73" s="17"/>
    </row>
    <row r="74" spans="1:8" ht="15.75" customHeight="1" x14ac:dyDescent="0.25">
      <c r="A74" s="17"/>
      <c r="B74" s="17"/>
      <c r="C74" s="17"/>
      <c r="D74" s="17"/>
      <c r="E74" s="17"/>
      <c r="F74" s="17"/>
      <c r="G74" s="17"/>
      <c r="H74" s="17"/>
    </row>
    <row r="75" spans="1:8" ht="15.75" customHeight="1" x14ac:dyDescent="0.25">
      <c r="A75" s="17"/>
      <c r="B75" s="17"/>
      <c r="C75" s="17"/>
      <c r="D75" s="17"/>
      <c r="E75" s="17"/>
      <c r="F75" s="17"/>
      <c r="G75" s="17"/>
      <c r="H75" s="17"/>
    </row>
    <row r="76" spans="1:8" ht="15.75" customHeight="1" x14ac:dyDescent="0.25">
      <c r="A76" s="17"/>
      <c r="B76" s="17"/>
      <c r="C76" s="17"/>
      <c r="D76" s="17"/>
      <c r="E76" s="17"/>
      <c r="F76" s="17"/>
      <c r="G76" s="17"/>
      <c r="H76" s="17"/>
    </row>
    <row r="77" spans="1:8" ht="15.75" customHeight="1" x14ac:dyDescent="0.25">
      <c r="A77" s="17"/>
      <c r="B77" s="17"/>
      <c r="C77" s="17"/>
      <c r="D77" s="17"/>
      <c r="E77" s="17"/>
      <c r="F77" s="17"/>
      <c r="G77" s="17"/>
      <c r="H77" s="17"/>
    </row>
    <row r="78" spans="1:8" ht="15.75" customHeight="1" x14ac:dyDescent="0.25">
      <c r="A78" s="17"/>
      <c r="B78" s="17"/>
      <c r="C78" s="17"/>
      <c r="D78" s="17"/>
      <c r="E78" s="17"/>
      <c r="F78" s="17"/>
      <c r="G78" s="17"/>
      <c r="H78" s="17"/>
    </row>
    <row r="79" spans="1:8" ht="15.75" customHeight="1" x14ac:dyDescent="0.25">
      <c r="A79" s="17"/>
      <c r="B79" s="17"/>
      <c r="C79" s="17"/>
      <c r="D79" s="17"/>
      <c r="E79" s="17"/>
      <c r="F79" s="17"/>
      <c r="G79" s="17"/>
      <c r="H79" s="17"/>
    </row>
    <row r="80" spans="1:8" ht="15.75" customHeight="1" x14ac:dyDescent="0.25">
      <c r="A80" s="17"/>
      <c r="B80" s="17"/>
      <c r="C80" s="17"/>
      <c r="D80" s="17"/>
      <c r="E80" s="17"/>
      <c r="F80" s="17"/>
      <c r="G80" s="17"/>
      <c r="H80" s="17"/>
    </row>
    <row r="81" spans="1:8" ht="15.75" customHeight="1" x14ac:dyDescent="0.25">
      <c r="A81" s="17"/>
      <c r="B81" s="17"/>
      <c r="C81" s="17"/>
      <c r="D81" s="17"/>
      <c r="E81" s="17"/>
      <c r="F81" s="17"/>
      <c r="G81" s="17"/>
      <c r="H81" s="17"/>
    </row>
    <row r="82" spans="1:8" ht="15.75" customHeight="1" x14ac:dyDescent="0.25">
      <c r="A82" s="17"/>
      <c r="B82" s="17"/>
      <c r="C82" s="17"/>
      <c r="D82" s="17"/>
      <c r="E82" s="17"/>
      <c r="F82" s="17"/>
      <c r="G82" s="17"/>
      <c r="H82" s="17"/>
    </row>
    <row r="83" spans="1:8" ht="15.75" customHeight="1" x14ac:dyDescent="0.25">
      <c r="A83" s="17"/>
      <c r="B83" s="17"/>
      <c r="C83" s="17"/>
      <c r="D83" s="17"/>
      <c r="E83" s="17"/>
      <c r="F83" s="17"/>
      <c r="G83" s="17"/>
      <c r="H83" s="17"/>
    </row>
    <row r="84" spans="1:8" ht="15.75" customHeight="1" x14ac:dyDescent="0.25">
      <c r="A84" s="17"/>
      <c r="B84" s="17"/>
      <c r="C84" s="17"/>
      <c r="D84" s="17"/>
      <c r="E84" s="17"/>
      <c r="F84" s="17"/>
      <c r="G84" s="17"/>
      <c r="H84" s="17"/>
    </row>
    <row r="85" spans="1:8" ht="15.75" customHeight="1" x14ac:dyDescent="0.25">
      <c r="A85" s="17"/>
      <c r="B85" s="17"/>
      <c r="C85" s="17"/>
      <c r="D85" s="17"/>
      <c r="E85" s="17"/>
      <c r="F85" s="17"/>
      <c r="G85" s="17"/>
      <c r="H85" s="17"/>
    </row>
    <row r="86" spans="1:8" ht="15.75" customHeight="1" x14ac:dyDescent="0.25">
      <c r="A86" s="17"/>
      <c r="B86" s="17"/>
      <c r="C86" s="17"/>
      <c r="D86" s="17"/>
      <c r="E86" s="17"/>
      <c r="F86" s="17"/>
      <c r="G86" s="17"/>
      <c r="H86" s="17"/>
    </row>
    <row r="87" spans="1:8" ht="15.75" customHeight="1" x14ac:dyDescent="0.25">
      <c r="A87" s="17"/>
      <c r="B87" s="17"/>
      <c r="C87" s="17"/>
      <c r="D87" s="17"/>
      <c r="E87" s="17"/>
      <c r="F87" s="17"/>
      <c r="G87" s="17"/>
      <c r="H87" s="17"/>
    </row>
    <row r="88" spans="1:8" ht="15.75" customHeight="1" x14ac:dyDescent="0.25">
      <c r="A88" s="17"/>
      <c r="B88" s="17"/>
      <c r="C88" s="17"/>
      <c r="D88" s="17"/>
      <c r="E88" s="17"/>
      <c r="F88" s="17"/>
      <c r="G88" s="17"/>
      <c r="H88" s="17"/>
    </row>
    <row r="89" spans="1:8" ht="15.75" customHeight="1" x14ac:dyDescent="0.25">
      <c r="A89" s="17"/>
      <c r="B89" s="17"/>
      <c r="C89" s="17"/>
      <c r="D89" s="17"/>
      <c r="E89" s="17"/>
      <c r="F89" s="17"/>
      <c r="G89" s="17"/>
      <c r="H89" s="17"/>
    </row>
    <row r="90" spans="1:8" ht="15.75" customHeight="1" x14ac:dyDescent="0.25">
      <c r="A90" s="17"/>
      <c r="B90" s="17"/>
      <c r="C90" s="17"/>
      <c r="D90" s="17"/>
      <c r="E90" s="17"/>
      <c r="F90" s="17"/>
      <c r="G90" s="17"/>
      <c r="H90" s="17"/>
    </row>
    <row r="91" spans="1:8" ht="15.75" customHeight="1" x14ac:dyDescent="0.25">
      <c r="A91" s="17"/>
      <c r="B91" s="17"/>
      <c r="C91" s="17"/>
      <c r="D91" s="17"/>
      <c r="E91" s="17"/>
      <c r="F91" s="17"/>
      <c r="G91" s="17"/>
      <c r="H91" s="17"/>
    </row>
    <row r="92" spans="1:8" ht="15.75" customHeight="1" x14ac:dyDescent="0.25">
      <c r="A92" s="17"/>
      <c r="B92" s="17"/>
      <c r="C92" s="17"/>
      <c r="D92" s="17"/>
      <c r="E92" s="17"/>
      <c r="F92" s="17"/>
      <c r="G92" s="17"/>
      <c r="H92" s="17"/>
    </row>
    <row r="93" spans="1:8" ht="15.75" customHeight="1" x14ac:dyDescent="0.25">
      <c r="A93" s="17"/>
      <c r="B93" s="17"/>
      <c r="C93" s="17"/>
      <c r="D93" s="17"/>
      <c r="E93" s="17"/>
      <c r="F93" s="17"/>
      <c r="G93" s="17"/>
      <c r="H93" s="17"/>
    </row>
    <row r="94" spans="1:8" ht="15.75" customHeight="1" x14ac:dyDescent="0.25">
      <c r="A94" s="17"/>
      <c r="B94" s="17"/>
      <c r="C94" s="17"/>
      <c r="D94" s="17"/>
      <c r="E94" s="17"/>
      <c r="F94" s="17"/>
      <c r="G94" s="17"/>
      <c r="H94" s="17"/>
    </row>
    <row r="95" spans="1:8" ht="15.75" customHeight="1" x14ac:dyDescent="0.25">
      <c r="A95" s="17"/>
      <c r="B95" s="17"/>
      <c r="C95" s="17"/>
      <c r="D95" s="17"/>
      <c r="E95" s="17"/>
      <c r="F95" s="17"/>
      <c r="G95" s="17"/>
      <c r="H95" s="17"/>
    </row>
    <row r="96" spans="1:8" ht="15.75" customHeight="1" x14ac:dyDescent="0.25">
      <c r="A96" s="17"/>
      <c r="B96" s="17"/>
      <c r="C96" s="17"/>
      <c r="D96" s="17"/>
      <c r="E96" s="17"/>
      <c r="F96" s="17"/>
      <c r="G96" s="17"/>
      <c r="H96" s="17"/>
    </row>
    <row r="97" spans="1:8" ht="15.75" customHeight="1" x14ac:dyDescent="0.25">
      <c r="A97" s="17"/>
      <c r="B97" s="17"/>
      <c r="C97" s="17"/>
      <c r="D97" s="17"/>
      <c r="E97" s="17"/>
      <c r="F97" s="17"/>
      <c r="G97" s="17"/>
      <c r="H97" s="17"/>
    </row>
    <row r="98" spans="1:8" ht="15.75" customHeight="1" x14ac:dyDescent="0.25">
      <c r="A98" s="17"/>
      <c r="B98" s="17"/>
      <c r="C98" s="17"/>
      <c r="D98" s="17"/>
      <c r="E98" s="17"/>
      <c r="F98" s="17"/>
      <c r="G98" s="17"/>
      <c r="H98" s="17"/>
    </row>
    <row r="99" spans="1:8" ht="15.75" customHeight="1" x14ac:dyDescent="0.25">
      <c r="A99" s="17"/>
      <c r="B99" s="17"/>
      <c r="C99" s="17"/>
      <c r="D99" s="17"/>
      <c r="E99" s="17"/>
      <c r="F99" s="17"/>
      <c r="G99" s="17"/>
      <c r="H99" s="17"/>
    </row>
    <row r="100" spans="1:8" ht="15.75" customHeight="1" x14ac:dyDescent="0.25">
      <c r="A100" s="17"/>
      <c r="B100" s="17"/>
      <c r="C100" s="17"/>
      <c r="D100" s="17"/>
      <c r="E100" s="17"/>
      <c r="F100" s="17"/>
      <c r="G100" s="17"/>
      <c r="H100" s="17"/>
    </row>
  </sheetData>
  <mergeCells count="19">
    <mergeCell ref="A1:H1"/>
    <mergeCell ref="A2:B2"/>
    <mergeCell ref="C2:D2"/>
    <mergeCell ref="E2:F2"/>
    <mergeCell ref="G2:H2"/>
    <mergeCell ref="A5:H5"/>
    <mergeCell ref="A32:D32"/>
    <mergeCell ref="A33:D33"/>
    <mergeCell ref="A34:D34"/>
    <mergeCell ref="C3:D3"/>
    <mergeCell ref="A17:D17"/>
    <mergeCell ref="A18:D18"/>
    <mergeCell ref="A19:D19"/>
    <mergeCell ref="A21:H21"/>
    <mergeCell ref="A29:D29"/>
    <mergeCell ref="A31:H31"/>
    <mergeCell ref="E3:F3"/>
    <mergeCell ref="G3:H3"/>
    <mergeCell ref="A3:B3"/>
  </mergeCells>
  <pageMargins left="0.75" right="0.75" top="1" bottom="1" header="0" footer="0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2E86AB"/>
  </sheetPr>
  <dimension ref="A1:H100"/>
  <sheetViews>
    <sheetView workbookViewId="0">
      <selection sqref="A1:H1"/>
    </sheetView>
  </sheetViews>
  <sheetFormatPr defaultColWidth="14.42578125" defaultRowHeight="15" customHeight="1" x14ac:dyDescent="0.25"/>
  <cols>
    <col min="1" max="1" width="10" customWidth="1"/>
    <col min="2" max="2" width="26" customWidth="1"/>
    <col min="3" max="7" width="16" customWidth="1"/>
    <col min="8" max="8" width="20" customWidth="1"/>
  </cols>
  <sheetData>
    <row r="1" spans="1:8" ht="27.75" customHeight="1" x14ac:dyDescent="0.25">
      <c r="A1" s="163" t="s">
        <v>226</v>
      </c>
      <c r="B1" s="146"/>
      <c r="C1" s="146"/>
      <c r="D1" s="146"/>
      <c r="E1" s="146"/>
      <c r="F1" s="146"/>
      <c r="G1" s="146"/>
      <c r="H1" s="147"/>
    </row>
    <row r="2" spans="1:8" ht="18" customHeight="1" x14ac:dyDescent="0.25">
      <c r="A2" s="164" t="s">
        <v>34</v>
      </c>
      <c r="B2" s="147"/>
      <c r="C2" s="164" t="s">
        <v>35</v>
      </c>
      <c r="D2" s="147"/>
      <c r="E2" s="164" t="s">
        <v>36</v>
      </c>
      <c r="F2" s="147"/>
      <c r="G2" s="164" t="s">
        <v>37</v>
      </c>
      <c r="H2" s="147"/>
    </row>
    <row r="3" spans="1:8" ht="21.75" customHeight="1" x14ac:dyDescent="0.25">
      <c r="A3" s="162">
        <f>E29</f>
        <v>4275</v>
      </c>
      <c r="B3" s="147"/>
      <c r="C3" s="154">
        <f>E19</f>
        <v>3080</v>
      </c>
      <c r="D3" s="147"/>
      <c r="E3" s="160">
        <f>E29-E19</f>
        <v>1195</v>
      </c>
      <c r="F3" s="147"/>
      <c r="G3" s="161">
        <f>IF(E29&gt;0,(E29-E19)/E29,0)</f>
        <v>0.27953216374269008</v>
      </c>
      <c r="H3" s="147"/>
    </row>
    <row r="4" spans="1:8" ht="14.25" customHeight="1" x14ac:dyDescent="0.25">
      <c r="A4" s="17"/>
      <c r="B4" s="17"/>
      <c r="C4" s="17"/>
      <c r="D4" s="17"/>
      <c r="E4" s="17"/>
      <c r="F4" s="17"/>
      <c r="G4" s="17"/>
      <c r="H4" s="17"/>
    </row>
    <row r="5" spans="1:8" ht="19.5" customHeight="1" x14ac:dyDescent="0.25">
      <c r="A5" s="150" t="s">
        <v>227</v>
      </c>
      <c r="B5" s="146"/>
      <c r="C5" s="146"/>
      <c r="D5" s="146"/>
      <c r="E5" s="146"/>
      <c r="F5" s="146"/>
      <c r="G5" s="146"/>
      <c r="H5" s="147"/>
    </row>
    <row r="6" spans="1:8" ht="15" customHeight="1" x14ac:dyDescent="0.25">
      <c r="A6" s="36" t="s">
        <v>22</v>
      </c>
      <c r="B6" s="36" t="s">
        <v>39</v>
      </c>
      <c r="C6" s="36" t="s">
        <v>40</v>
      </c>
      <c r="D6" s="36" t="s">
        <v>41</v>
      </c>
      <c r="E6" s="36" t="s">
        <v>42</v>
      </c>
      <c r="F6" s="36" t="s">
        <v>43</v>
      </c>
      <c r="G6" s="36" t="s">
        <v>44</v>
      </c>
      <c r="H6" s="36"/>
    </row>
    <row r="7" spans="1:8" ht="15" customHeight="1" x14ac:dyDescent="0.25">
      <c r="A7" s="37" t="s">
        <v>228</v>
      </c>
      <c r="B7" s="38" t="s">
        <v>46</v>
      </c>
      <c r="C7" s="37" t="s">
        <v>167</v>
      </c>
      <c r="D7" s="37" t="s">
        <v>48</v>
      </c>
      <c r="E7" s="39">
        <v>86</v>
      </c>
      <c r="F7" s="37"/>
      <c r="G7" s="37"/>
      <c r="H7" s="37"/>
    </row>
    <row r="8" spans="1:8" ht="15" customHeight="1" x14ac:dyDescent="0.25">
      <c r="A8" s="40" t="s">
        <v>228</v>
      </c>
      <c r="B8" s="41" t="s">
        <v>49</v>
      </c>
      <c r="C8" s="40"/>
      <c r="D8" s="40" t="s">
        <v>50</v>
      </c>
      <c r="E8" s="42">
        <v>216</v>
      </c>
      <c r="F8" s="40"/>
      <c r="G8" s="40"/>
      <c r="H8" s="40"/>
    </row>
    <row r="9" spans="1:8" ht="15" customHeight="1" x14ac:dyDescent="0.25">
      <c r="A9" s="37" t="s">
        <v>228</v>
      </c>
      <c r="B9" s="38" t="s">
        <v>51</v>
      </c>
      <c r="C9" s="37"/>
      <c r="D9" s="37" t="s">
        <v>50</v>
      </c>
      <c r="E9" s="39">
        <v>230</v>
      </c>
      <c r="F9" s="37"/>
      <c r="G9" s="37"/>
      <c r="H9" s="37"/>
    </row>
    <row r="10" spans="1:8" ht="15" customHeight="1" x14ac:dyDescent="0.25">
      <c r="A10" s="40" t="s">
        <v>228</v>
      </c>
      <c r="B10" s="41" t="s">
        <v>52</v>
      </c>
      <c r="C10" s="40"/>
      <c r="D10" s="40" t="s">
        <v>50</v>
      </c>
      <c r="E10" s="42">
        <v>95</v>
      </c>
      <c r="F10" s="40"/>
      <c r="G10" s="40"/>
      <c r="H10" s="40"/>
    </row>
    <row r="11" spans="1:8" ht="15" customHeight="1" x14ac:dyDescent="0.25">
      <c r="A11" s="37" t="s">
        <v>228</v>
      </c>
      <c r="B11" s="38" t="s">
        <v>53</v>
      </c>
      <c r="C11" s="37"/>
      <c r="D11" s="37" t="s">
        <v>50</v>
      </c>
      <c r="E11" s="39">
        <v>120</v>
      </c>
      <c r="F11" s="37"/>
      <c r="G11" s="37"/>
      <c r="H11" s="37"/>
    </row>
    <row r="12" spans="1:8" ht="15" customHeight="1" x14ac:dyDescent="0.25">
      <c r="A12" s="40" t="s">
        <v>228</v>
      </c>
      <c r="B12" s="41" t="s">
        <v>54</v>
      </c>
      <c r="C12" s="40"/>
      <c r="D12" s="40" t="s">
        <v>50</v>
      </c>
      <c r="E12" s="42">
        <v>288</v>
      </c>
      <c r="F12" s="40"/>
      <c r="G12" s="40"/>
      <c r="H12" s="40"/>
    </row>
    <row r="13" spans="1:8" ht="15" customHeight="1" x14ac:dyDescent="0.25">
      <c r="A13" s="37" t="s">
        <v>228</v>
      </c>
      <c r="B13" s="38" t="s">
        <v>55</v>
      </c>
      <c r="C13" s="37"/>
      <c r="D13" s="37" t="s">
        <v>50</v>
      </c>
      <c r="E13" s="39">
        <v>135</v>
      </c>
      <c r="F13" s="37"/>
      <c r="G13" s="37"/>
      <c r="H13" s="37"/>
    </row>
    <row r="14" spans="1:8" ht="15" customHeight="1" x14ac:dyDescent="0.25">
      <c r="A14" s="40" t="s">
        <v>228</v>
      </c>
      <c r="B14" s="40" t="s">
        <v>126</v>
      </c>
      <c r="C14" s="31"/>
      <c r="D14" s="40" t="s">
        <v>50</v>
      </c>
      <c r="E14" s="107">
        <f>'💳 Empréstimo'!F30</f>
        <v>560</v>
      </c>
      <c r="F14" s="31"/>
      <c r="G14" s="40" t="s">
        <v>229</v>
      </c>
      <c r="H14" s="31"/>
    </row>
    <row r="15" spans="1:8" ht="15" customHeight="1" x14ac:dyDescent="0.25">
      <c r="A15" s="31"/>
      <c r="B15" s="31"/>
      <c r="C15" s="31"/>
      <c r="D15" s="31"/>
      <c r="E15" s="29"/>
      <c r="F15" s="31"/>
      <c r="G15" s="31"/>
      <c r="H15" s="31"/>
    </row>
    <row r="16" spans="1:8" ht="15" customHeight="1" x14ac:dyDescent="0.25">
      <c r="A16" s="31"/>
      <c r="B16" s="31"/>
      <c r="C16" s="31"/>
      <c r="D16" s="31"/>
      <c r="E16" s="29"/>
      <c r="F16" s="31"/>
      <c r="G16" s="31"/>
      <c r="H16" s="31"/>
    </row>
    <row r="17" spans="1:8" ht="15" customHeight="1" x14ac:dyDescent="0.25">
      <c r="A17" s="155" t="s">
        <v>56</v>
      </c>
      <c r="B17" s="152"/>
      <c r="C17" s="152"/>
      <c r="D17" s="153"/>
      <c r="E17" s="43">
        <f>SUM(E7:E16)</f>
        <v>1730</v>
      </c>
      <c r="F17" s="44"/>
      <c r="G17" s="44"/>
      <c r="H17" s="44"/>
    </row>
    <row r="18" spans="1:8" ht="15" customHeight="1" x14ac:dyDescent="0.25">
      <c r="A18" s="156" t="s">
        <v>57</v>
      </c>
      <c r="B18" s="152"/>
      <c r="C18" s="152"/>
      <c r="D18" s="153"/>
      <c r="E18" s="45">
        <v>1350</v>
      </c>
      <c r="F18" s="44"/>
      <c r="G18" s="44"/>
      <c r="H18" s="44"/>
    </row>
    <row r="19" spans="1:8" ht="15" customHeight="1" x14ac:dyDescent="0.25">
      <c r="A19" s="157" t="s">
        <v>58</v>
      </c>
      <c r="B19" s="152"/>
      <c r="C19" s="152"/>
      <c r="D19" s="153"/>
      <c r="E19" s="46">
        <f>E17+E18</f>
        <v>3080</v>
      </c>
      <c r="F19" s="47"/>
      <c r="G19" s="47"/>
      <c r="H19" s="47"/>
    </row>
    <row r="20" spans="1:8" ht="14.25" customHeight="1" x14ac:dyDescent="0.25">
      <c r="A20" s="17"/>
      <c r="B20" s="17"/>
      <c r="C20" s="17"/>
      <c r="D20" s="17"/>
      <c r="E20" s="17"/>
      <c r="F20" s="17"/>
      <c r="G20" s="17"/>
      <c r="H20" s="17"/>
    </row>
    <row r="21" spans="1:8" ht="19.5" customHeight="1" x14ac:dyDescent="0.25">
      <c r="A21" s="158" t="s">
        <v>230</v>
      </c>
      <c r="B21" s="146"/>
      <c r="C21" s="146"/>
      <c r="D21" s="146"/>
      <c r="E21" s="146"/>
      <c r="F21" s="146"/>
      <c r="G21" s="146"/>
      <c r="H21" s="147"/>
    </row>
    <row r="22" spans="1:8" ht="15" customHeight="1" x14ac:dyDescent="0.25">
      <c r="A22" s="48" t="s">
        <v>22</v>
      </c>
      <c r="B22" s="48" t="s">
        <v>39</v>
      </c>
      <c r="C22" s="48" t="s">
        <v>40</v>
      </c>
      <c r="D22" s="48" t="s">
        <v>41</v>
      </c>
      <c r="E22" s="48" t="s">
        <v>42</v>
      </c>
      <c r="F22" s="48" t="s">
        <v>60</v>
      </c>
      <c r="G22" s="48" t="s">
        <v>44</v>
      </c>
      <c r="H22" s="48"/>
    </row>
    <row r="23" spans="1:8" ht="15" customHeight="1" x14ac:dyDescent="0.25">
      <c r="A23" s="49" t="s">
        <v>228</v>
      </c>
      <c r="B23" s="50" t="s">
        <v>61</v>
      </c>
      <c r="C23" s="49" t="s">
        <v>62</v>
      </c>
      <c r="D23" s="49" t="s">
        <v>50</v>
      </c>
      <c r="E23" s="51">
        <v>1475</v>
      </c>
      <c r="F23" s="49"/>
      <c r="G23" s="49"/>
      <c r="H23" s="49"/>
    </row>
    <row r="24" spans="1:8" ht="15" customHeight="1" x14ac:dyDescent="0.25">
      <c r="A24" s="52" t="s">
        <v>228</v>
      </c>
      <c r="B24" s="53" t="s">
        <v>63</v>
      </c>
      <c r="C24" s="52" t="s">
        <v>62</v>
      </c>
      <c r="D24" s="52" t="s">
        <v>50</v>
      </c>
      <c r="E24" s="54">
        <v>1300</v>
      </c>
      <c r="F24" s="52"/>
      <c r="G24" s="52"/>
      <c r="H24" s="52"/>
    </row>
    <row r="25" spans="1:8" ht="15" customHeight="1" x14ac:dyDescent="0.25">
      <c r="A25" s="49" t="s">
        <v>228</v>
      </c>
      <c r="B25" s="50" t="s">
        <v>64</v>
      </c>
      <c r="C25" s="49" t="s">
        <v>62</v>
      </c>
      <c r="D25" s="49" t="s">
        <v>50</v>
      </c>
      <c r="E25" s="51">
        <v>1500</v>
      </c>
      <c r="F25" s="49"/>
      <c r="G25" s="49"/>
      <c r="H25" s="49"/>
    </row>
    <row r="26" spans="1:8" ht="15" customHeight="1" x14ac:dyDescent="0.25">
      <c r="A26" s="52"/>
      <c r="B26" s="53"/>
      <c r="C26" s="52"/>
      <c r="D26" s="52"/>
      <c r="E26" s="54"/>
      <c r="F26" s="52"/>
      <c r="G26" s="52"/>
      <c r="H26" s="52"/>
    </row>
    <row r="27" spans="1:8" ht="15" customHeight="1" x14ac:dyDescent="0.25">
      <c r="A27" s="55"/>
      <c r="B27" s="55"/>
      <c r="C27" s="55"/>
      <c r="D27" s="55"/>
      <c r="E27" s="56"/>
      <c r="F27" s="55"/>
      <c r="G27" s="55"/>
      <c r="H27" s="55"/>
    </row>
    <row r="28" spans="1:8" ht="15" customHeight="1" x14ac:dyDescent="0.25">
      <c r="A28" s="55"/>
      <c r="B28" s="55"/>
      <c r="C28" s="55"/>
      <c r="D28" s="55"/>
      <c r="E28" s="56"/>
      <c r="F28" s="55"/>
      <c r="G28" s="55"/>
      <c r="H28" s="55"/>
    </row>
    <row r="29" spans="1:8" ht="15" customHeight="1" x14ac:dyDescent="0.25">
      <c r="A29" s="157" t="s">
        <v>66</v>
      </c>
      <c r="B29" s="152"/>
      <c r="C29" s="152"/>
      <c r="D29" s="153"/>
      <c r="E29" s="46">
        <f>SUM(E23:E28)</f>
        <v>4275</v>
      </c>
      <c r="F29" s="47"/>
      <c r="G29" s="47"/>
      <c r="H29" s="47"/>
    </row>
    <row r="30" spans="1:8" ht="15.75" customHeight="1" x14ac:dyDescent="0.25">
      <c r="A30" s="17"/>
      <c r="B30" s="17"/>
      <c r="C30" s="17"/>
      <c r="D30" s="17"/>
      <c r="E30" s="17"/>
      <c r="F30" s="17"/>
      <c r="G30" s="17"/>
      <c r="H30" s="17"/>
    </row>
    <row r="31" spans="1:8" ht="19.5" customHeight="1" x14ac:dyDescent="0.25">
      <c r="A31" s="159" t="s">
        <v>67</v>
      </c>
      <c r="B31" s="146"/>
      <c r="C31" s="146"/>
      <c r="D31" s="146"/>
      <c r="E31" s="146"/>
      <c r="F31" s="146"/>
      <c r="G31" s="146"/>
      <c r="H31" s="147"/>
    </row>
    <row r="32" spans="1:8" ht="15" customHeight="1" x14ac:dyDescent="0.25">
      <c r="A32" s="151" t="s">
        <v>68</v>
      </c>
      <c r="B32" s="152"/>
      <c r="C32" s="152"/>
      <c r="D32" s="153"/>
      <c r="E32" s="57">
        <f>E29-E19</f>
        <v>1195</v>
      </c>
      <c r="F32" s="58"/>
      <c r="G32" s="58"/>
      <c r="H32" s="58"/>
    </row>
    <row r="33" spans="1:8" ht="15" customHeight="1" x14ac:dyDescent="0.25">
      <c r="A33" s="151" t="s">
        <v>76</v>
      </c>
      <c r="B33" s="152"/>
      <c r="C33" s="152"/>
      <c r="D33" s="153"/>
      <c r="E33" s="57">
        <f>0.7*(E29-E19)</f>
        <v>836.5</v>
      </c>
      <c r="F33" s="58"/>
      <c r="G33" s="58"/>
      <c r="H33" s="58"/>
    </row>
    <row r="34" spans="1:8" ht="15" customHeight="1" x14ac:dyDescent="0.25">
      <c r="A34" s="151" t="s">
        <v>70</v>
      </c>
      <c r="B34" s="152"/>
      <c r="C34" s="152"/>
      <c r="D34" s="153"/>
      <c r="E34" s="57">
        <f>E19/6</f>
        <v>513.33333333333337</v>
      </c>
      <c r="F34" s="58"/>
      <c r="G34" s="58"/>
      <c r="H34" s="58"/>
    </row>
    <row r="35" spans="1:8" ht="15.75" customHeight="1" x14ac:dyDescent="0.25">
      <c r="A35" s="17"/>
      <c r="B35" s="17"/>
      <c r="C35" s="17"/>
      <c r="D35" s="17"/>
      <c r="E35" s="17"/>
      <c r="F35" s="17"/>
      <c r="G35" s="17"/>
      <c r="H35" s="17"/>
    </row>
    <row r="36" spans="1:8" ht="15.75" customHeight="1" x14ac:dyDescent="0.25">
      <c r="A36" s="17"/>
      <c r="B36" s="17"/>
      <c r="C36" s="17"/>
      <c r="D36" s="17"/>
      <c r="E36" s="17"/>
      <c r="F36" s="17"/>
      <c r="G36" s="17"/>
      <c r="H36" s="17"/>
    </row>
    <row r="37" spans="1:8" ht="15.75" customHeight="1" x14ac:dyDescent="0.25">
      <c r="A37" s="17"/>
      <c r="B37" s="17"/>
      <c r="C37" s="17"/>
      <c r="D37" s="17"/>
      <c r="E37" s="17"/>
      <c r="F37" s="17"/>
      <c r="G37" s="17"/>
      <c r="H37" s="17"/>
    </row>
    <row r="38" spans="1:8" ht="15.75" customHeight="1" x14ac:dyDescent="0.25">
      <c r="A38" s="17"/>
      <c r="B38" s="17"/>
      <c r="C38" s="17"/>
      <c r="D38" s="17"/>
      <c r="E38" s="17"/>
      <c r="F38" s="17"/>
      <c r="G38" s="17"/>
      <c r="H38" s="17"/>
    </row>
    <row r="39" spans="1:8" ht="15.75" customHeight="1" x14ac:dyDescent="0.25">
      <c r="A39" s="17"/>
      <c r="B39" s="17"/>
      <c r="C39" s="17"/>
      <c r="D39" s="17"/>
      <c r="E39" s="17"/>
      <c r="F39" s="17"/>
      <c r="G39" s="17"/>
      <c r="H39" s="17"/>
    </row>
    <row r="40" spans="1:8" ht="15.75" customHeight="1" x14ac:dyDescent="0.25">
      <c r="A40" s="17"/>
      <c r="B40" s="17"/>
      <c r="C40" s="17"/>
      <c r="D40" s="17"/>
      <c r="E40" s="17"/>
      <c r="F40" s="17"/>
      <c r="G40" s="17"/>
      <c r="H40" s="17"/>
    </row>
    <row r="41" spans="1:8" ht="15.75" customHeight="1" x14ac:dyDescent="0.25">
      <c r="A41" s="17"/>
      <c r="B41" s="17"/>
      <c r="C41" s="17"/>
      <c r="D41" s="17"/>
      <c r="E41" s="17"/>
      <c r="F41" s="17"/>
      <c r="G41" s="17"/>
      <c r="H41" s="17"/>
    </row>
    <row r="42" spans="1:8" ht="15.75" customHeight="1" x14ac:dyDescent="0.25">
      <c r="A42" s="17"/>
      <c r="B42" s="17"/>
      <c r="C42" s="17"/>
      <c r="D42" s="17"/>
      <c r="E42" s="17"/>
      <c r="F42" s="17"/>
      <c r="G42" s="17"/>
      <c r="H42" s="17"/>
    </row>
    <row r="43" spans="1:8" ht="15.75" customHeight="1" x14ac:dyDescent="0.25">
      <c r="A43" s="17"/>
      <c r="B43" s="17"/>
      <c r="C43" s="17"/>
      <c r="D43" s="17"/>
      <c r="E43" s="17"/>
      <c r="F43" s="17"/>
      <c r="G43" s="17"/>
      <c r="H43" s="17"/>
    </row>
    <row r="44" spans="1:8" ht="15.75" customHeight="1" x14ac:dyDescent="0.25">
      <c r="A44" s="17"/>
      <c r="B44" s="17"/>
      <c r="C44" s="17"/>
      <c r="D44" s="17"/>
      <c r="E44" s="17"/>
      <c r="F44" s="17"/>
      <c r="G44" s="17"/>
      <c r="H44" s="17"/>
    </row>
    <row r="45" spans="1:8" ht="15.75" customHeight="1" x14ac:dyDescent="0.25">
      <c r="A45" s="17"/>
      <c r="B45" s="17"/>
      <c r="C45" s="17"/>
      <c r="D45" s="17"/>
      <c r="E45" s="17"/>
      <c r="F45" s="17"/>
      <c r="G45" s="17"/>
      <c r="H45" s="17"/>
    </row>
    <row r="46" spans="1:8" ht="15.75" customHeight="1" x14ac:dyDescent="0.25">
      <c r="A46" s="17"/>
      <c r="B46" s="17"/>
      <c r="C46" s="17"/>
      <c r="D46" s="17"/>
      <c r="E46" s="17"/>
      <c r="F46" s="17"/>
      <c r="G46" s="17"/>
      <c r="H46" s="17"/>
    </row>
    <row r="47" spans="1:8" ht="15.75" customHeight="1" x14ac:dyDescent="0.25">
      <c r="A47" s="17"/>
      <c r="B47" s="17"/>
      <c r="C47" s="17"/>
      <c r="D47" s="17"/>
      <c r="E47" s="17"/>
      <c r="F47" s="17"/>
      <c r="G47" s="17"/>
      <c r="H47" s="17"/>
    </row>
    <row r="48" spans="1:8" ht="15.75" customHeight="1" x14ac:dyDescent="0.25">
      <c r="A48" s="17"/>
      <c r="B48" s="17"/>
      <c r="C48" s="17"/>
      <c r="D48" s="17"/>
      <c r="E48" s="17"/>
      <c r="F48" s="17"/>
      <c r="G48" s="17"/>
      <c r="H48" s="17"/>
    </row>
    <row r="49" spans="1:8" ht="15.75" customHeight="1" x14ac:dyDescent="0.25">
      <c r="A49" s="17"/>
      <c r="B49" s="17"/>
      <c r="C49" s="17"/>
      <c r="D49" s="17"/>
      <c r="E49" s="17"/>
      <c r="F49" s="17"/>
      <c r="G49" s="17"/>
      <c r="H49" s="17"/>
    </row>
    <row r="50" spans="1:8" ht="15.75" customHeight="1" x14ac:dyDescent="0.25">
      <c r="A50" s="17"/>
      <c r="B50" s="17"/>
      <c r="C50" s="17"/>
      <c r="D50" s="17"/>
      <c r="E50" s="17"/>
      <c r="F50" s="17"/>
      <c r="G50" s="17"/>
      <c r="H50" s="17"/>
    </row>
    <row r="51" spans="1:8" ht="15.75" customHeight="1" x14ac:dyDescent="0.25">
      <c r="A51" s="17"/>
      <c r="B51" s="17"/>
      <c r="C51" s="17"/>
      <c r="D51" s="17"/>
      <c r="E51" s="17"/>
      <c r="F51" s="17"/>
      <c r="G51" s="17"/>
      <c r="H51" s="17"/>
    </row>
    <row r="52" spans="1:8" ht="15.75" customHeight="1" x14ac:dyDescent="0.25">
      <c r="A52" s="17"/>
      <c r="B52" s="17"/>
      <c r="C52" s="17"/>
      <c r="D52" s="17"/>
      <c r="E52" s="17"/>
      <c r="F52" s="17"/>
      <c r="G52" s="17"/>
      <c r="H52" s="17"/>
    </row>
    <row r="53" spans="1:8" ht="15.75" customHeight="1" x14ac:dyDescent="0.25">
      <c r="A53" s="17"/>
      <c r="B53" s="17"/>
      <c r="C53" s="17"/>
      <c r="D53" s="17"/>
      <c r="E53" s="17"/>
      <c r="F53" s="17"/>
      <c r="G53" s="17"/>
      <c r="H53" s="17"/>
    </row>
    <row r="54" spans="1:8" ht="15.75" customHeight="1" x14ac:dyDescent="0.25">
      <c r="A54" s="17"/>
      <c r="B54" s="17"/>
      <c r="C54" s="17"/>
      <c r="D54" s="17"/>
      <c r="E54" s="17"/>
      <c r="F54" s="17"/>
      <c r="G54" s="17"/>
      <c r="H54" s="17"/>
    </row>
    <row r="55" spans="1:8" ht="15.75" customHeight="1" x14ac:dyDescent="0.25">
      <c r="A55" s="17"/>
      <c r="B55" s="17"/>
      <c r="C55" s="17"/>
      <c r="D55" s="17"/>
      <c r="E55" s="17"/>
      <c r="F55" s="17"/>
      <c r="G55" s="17"/>
      <c r="H55" s="17"/>
    </row>
    <row r="56" spans="1:8" ht="15.75" customHeight="1" x14ac:dyDescent="0.25">
      <c r="A56" s="17"/>
      <c r="B56" s="17"/>
      <c r="C56" s="17"/>
      <c r="D56" s="17"/>
      <c r="E56" s="17"/>
      <c r="F56" s="17"/>
      <c r="G56" s="17"/>
      <c r="H56" s="17"/>
    </row>
    <row r="57" spans="1:8" ht="15.75" customHeight="1" x14ac:dyDescent="0.25">
      <c r="A57" s="17"/>
      <c r="B57" s="17"/>
      <c r="C57" s="17"/>
      <c r="D57" s="17"/>
      <c r="E57" s="17"/>
      <c r="F57" s="17"/>
      <c r="G57" s="17"/>
      <c r="H57" s="17"/>
    </row>
    <row r="58" spans="1:8" ht="15.75" customHeight="1" x14ac:dyDescent="0.25">
      <c r="A58" s="17"/>
      <c r="B58" s="17"/>
      <c r="C58" s="17"/>
      <c r="D58" s="17"/>
      <c r="E58" s="17"/>
      <c r="F58" s="17"/>
      <c r="G58" s="17"/>
      <c r="H58" s="17"/>
    </row>
    <row r="59" spans="1:8" ht="15.75" customHeight="1" x14ac:dyDescent="0.25">
      <c r="A59" s="17"/>
      <c r="B59" s="17"/>
      <c r="C59" s="17"/>
      <c r="D59" s="17"/>
      <c r="E59" s="17"/>
      <c r="F59" s="17"/>
      <c r="G59" s="17"/>
      <c r="H59" s="17"/>
    </row>
    <row r="60" spans="1:8" ht="15.75" customHeight="1" x14ac:dyDescent="0.25">
      <c r="A60" s="17"/>
      <c r="B60" s="17"/>
      <c r="C60" s="17"/>
      <c r="D60" s="17"/>
      <c r="E60" s="17"/>
      <c r="F60" s="17"/>
      <c r="G60" s="17"/>
      <c r="H60" s="17"/>
    </row>
    <row r="61" spans="1:8" ht="15.75" customHeight="1" x14ac:dyDescent="0.25">
      <c r="A61" s="17"/>
      <c r="B61" s="17"/>
      <c r="C61" s="17"/>
      <c r="D61" s="17"/>
      <c r="E61" s="17"/>
      <c r="F61" s="17"/>
      <c r="G61" s="17"/>
      <c r="H61" s="17"/>
    </row>
    <row r="62" spans="1:8" ht="15.75" customHeight="1" x14ac:dyDescent="0.25">
      <c r="A62" s="17"/>
      <c r="B62" s="17"/>
      <c r="C62" s="17"/>
      <c r="D62" s="17"/>
      <c r="E62" s="17"/>
      <c r="F62" s="17"/>
      <c r="G62" s="17"/>
      <c r="H62" s="17"/>
    </row>
    <row r="63" spans="1:8" ht="15.75" customHeight="1" x14ac:dyDescent="0.25">
      <c r="A63" s="17"/>
      <c r="B63" s="17"/>
      <c r="C63" s="17"/>
      <c r="D63" s="17"/>
      <c r="E63" s="17"/>
      <c r="F63" s="17"/>
      <c r="G63" s="17"/>
      <c r="H63" s="17"/>
    </row>
    <row r="64" spans="1:8" ht="15.75" customHeight="1" x14ac:dyDescent="0.25">
      <c r="A64" s="17"/>
      <c r="B64" s="17"/>
      <c r="C64" s="17"/>
      <c r="D64" s="17"/>
      <c r="E64" s="17"/>
      <c r="F64" s="17"/>
      <c r="G64" s="17"/>
      <c r="H64" s="17"/>
    </row>
    <row r="65" spans="1:8" ht="15.75" customHeight="1" x14ac:dyDescent="0.25">
      <c r="A65" s="17"/>
      <c r="B65" s="17"/>
      <c r="C65" s="17"/>
      <c r="D65" s="17"/>
      <c r="E65" s="17"/>
      <c r="F65" s="17"/>
      <c r="G65" s="17"/>
      <c r="H65" s="17"/>
    </row>
    <row r="66" spans="1:8" ht="15.75" customHeight="1" x14ac:dyDescent="0.25">
      <c r="A66" s="17"/>
      <c r="B66" s="17"/>
      <c r="C66" s="17"/>
      <c r="D66" s="17"/>
      <c r="E66" s="17"/>
      <c r="F66" s="17"/>
      <c r="G66" s="17"/>
      <c r="H66" s="17"/>
    </row>
    <row r="67" spans="1:8" ht="15.75" customHeight="1" x14ac:dyDescent="0.25">
      <c r="A67" s="17"/>
      <c r="B67" s="17"/>
      <c r="C67" s="17"/>
      <c r="D67" s="17"/>
      <c r="E67" s="17"/>
      <c r="F67" s="17"/>
      <c r="G67" s="17"/>
      <c r="H67" s="17"/>
    </row>
    <row r="68" spans="1:8" ht="15.75" customHeight="1" x14ac:dyDescent="0.25">
      <c r="A68" s="17"/>
      <c r="B68" s="17"/>
      <c r="C68" s="17"/>
      <c r="D68" s="17"/>
      <c r="E68" s="17"/>
      <c r="F68" s="17"/>
      <c r="G68" s="17"/>
      <c r="H68" s="17"/>
    </row>
    <row r="69" spans="1:8" ht="15.75" customHeight="1" x14ac:dyDescent="0.25">
      <c r="A69" s="17"/>
      <c r="B69" s="17"/>
      <c r="C69" s="17"/>
      <c r="D69" s="17"/>
      <c r="E69" s="17"/>
      <c r="F69" s="17"/>
      <c r="G69" s="17"/>
      <c r="H69" s="17"/>
    </row>
    <row r="70" spans="1:8" ht="15.75" customHeight="1" x14ac:dyDescent="0.25">
      <c r="A70" s="17"/>
      <c r="B70" s="17"/>
      <c r="C70" s="17"/>
      <c r="D70" s="17"/>
      <c r="E70" s="17"/>
      <c r="F70" s="17"/>
      <c r="G70" s="17"/>
      <c r="H70" s="17"/>
    </row>
    <row r="71" spans="1:8" ht="15.75" customHeight="1" x14ac:dyDescent="0.25">
      <c r="A71" s="17"/>
      <c r="B71" s="17"/>
      <c r="C71" s="17"/>
      <c r="D71" s="17"/>
      <c r="E71" s="17"/>
      <c r="F71" s="17"/>
      <c r="G71" s="17"/>
      <c r="H71" s="17"/>
    </row>
    <row r="72" spans="1:8" ht="15.75" customHeight="1" x14ac:dyDescent="0.25">
      <c r="A72" s="17"/>
      <c r="B72" s="17"/>
      <c r="C72" s="17"/>
      <c r="D72" s="17"/>
      <c r="E72" s="17"/>
      <c r="F72" s="17"/>
      <c r="G72" s="17"/>
      <c r="H72" s="17"/>
    </row>
    <row r="73" spans="1:8" ht="15.75" customHeight="1" x14ac:dyDescent="0.25">
      <c r="A73" s="17"/>
      <c r="B73" s="17"/>
      <c r="C73" s="17"/>
      <c r="D73" s="17"/>
      <c r="E73" s="17"/>
      <c r="F73" s="17"/>
      <c r="G73" s="17"/>
      <c r="H73" s="17"/>
    </row>
    <row r="74" spans="1:8" ht="15.75" customHeight="1" x14ac:dyDescent="0.25">
      <c r="A74" s="17"/>
      <c r="B74" s="17"/>
      <c r="C74" s="17"/>
      <c r="D74" s="17"/>
      <c r="E74" s="17"/>
      <c r="F74" s="17"/>
      <c r="G74" s="17"/>
      <c r="H74" s="17"/>
    </row>
    <row r="75" spans="1:8" ht="15.75" customHeight="1" x14ac:dyDescent="0.25">
      <c r="A75" s="17"/>
      <c r="B75" s="17"/>
      <c r="C75" s="17"/>
      <c r="D75" s="17"/>
      <c r="E75" s="17"/>
      <c r="F75" s="17"/>
      <c r="G75" s="17"/>
      <c r="H75" s="17"/>
    </row>
    <row r="76" spans="1:8" ht="15.75" customHeight="1" x14ac:dyDescent="0.25">
      <c r="A76" s="17"/>
      <c r="B76" s="17"/>
      <c r="C76" s="17"/>
      <c r="D76" s="17"/>
      <c r="E76" s="17"/>
      <c r="F76" s="17"/>
      <c r="G76" s="17"/>
      <c r="H76" s="17"/>
    </row>
    <row r="77" spans="1:8" ht="15.75" customHeight="1" x14ac:dyDescent="0.25">
      <c r="A77" s="17"/>
      <c r="B77" s="17"/>
      <c r="C77" s="17"/>
      <c r="D77" s="17"/>
      <c r="E77" s="17"/>
      <c r="F77" s="17"/>
      <c r="G77" s="17"/>
      <c r="H77" s="17"/>
    </row>
    <row r="78" spans="1:8" ht="15.75" customHeight="1" x14ac:dyDescent="0.25">
      <c r="A78" s="17"/>
      <c r="B78" s="17"/>
      <c r="C78" s="17"/>
      <c r="D78" s="17"/>
      <c r="E78" s="17"/>
      <c r="F78" s="17"/>
      <c r="G78" s="17"/>
      <c r="H78" s="17"/>
    </row>
    <row r="79" spans="1:8" ht="15.75" customHeight="1" x14ac:dyDescent="0.25">
      <c r="A79" s="17"/>
      <c r="B79" s="17"/>
      <c r="C79" s="17"/>
      <c r="D79" s="17"/>
      <c r="E79" s="17"/>
      <c r="F79" s="17"/>
      <c r="G79" s="17"/>
      <c r="H79" s="17"/>
    </row>
    <row r="80" spans="1:8" ht="15.75" customHeight="1" x14ac:dyDescent="0.25">
      <c r="A80" s="17"/>
      <c r="B80" s="17"/>
      <c r="C80" s="17"/>
      <c r="D80" s="17"/>
      <c r="E80" s="17"/>
      <c r="F80" s="17"/>
      <c r="G80" s="17"/>
      <c r="H80" s="17"/>
    </row>
    <row r="81" spans="1:8" ht="15.75" customHeight="1" x14ac:dyDescent="0.25">
      <c r="A81" s="17"/>
      <c r="B81" s="17"/>
      <c r="C81" s="17"/>
      <c r="D81" s="17"/>
      <c r="E81" s="17"/>
      <c r="F81" s="17"/>
      <c r="G81" s="17"/>
      <c r="H81" s="17"/>
    </row>
    <row r="82" spans="1:8" ht="15.75" customHeight="1" x14ac:dyDescent="0.25">
      <c r="A82" s="17"/>
      <c r="B82" s="17"/>
      <c r="C82" s="17"/>
      <c r="D82" s="17"/>
      <c r="E82" s="17"/>
      <c r="F82" s="17"/>
      <c r="G82" s="17"/>
      <c r="H82" s="17"/>
    </row>
    <row r="83" spans="1:8" ht="15.75" customHeight="1" x14ac:dyDescent="0.25">
      <c r="A83" s="17"/>
      <c r="B83" s="17"/>
      <c r="C83" s="17"/>
      <c r="D83" s="17"/>
      <c r="E83" s="17"/>
      <c r="F83" s="17"/>
      <c r="G83" s="17"/>
      <c r="H83" s="17"/>
    </row>
    <row r="84" spans="1:8" ht="15.75" customHeight="1" x14ac:dyDescent="0.25">
      <c r="A84" s="17"/>
      <c r="B84" s="17"/>
      <c r="C84" s="17"/>
      <c r="D84" s="17"/>
      <c r="E84" s="17"/>
      <c r="F84" s="17"/>
      <c r="G84" s="17"/>
      <c r="H84" s="17"/>
    </row>
    <row r="85" spans="1:8" ht="15.75" customHeight="1" x14ac:dyDescent="0.25">
      <c r="A85" s="17"/>
      <c r="B85" s="17"/>
      <c r="C85" s="17"/>
      <c r="D85" s="17"/>
      <c r="E85" s="17"/>
      <c r="F85" s="17"/>
      <c r="G85" s="17"/>
      <c r="H85" s="17"/>
    </row>
    <row r="86" spans="1:8" ht="15.75" customHeight="1" x14ac:dyDescent="0.25">
      <c r="A86" s="17"/>
      <c r="B86" s="17"/>
      <c r="C86" s="17"/>
      <c r="D86" s="17"/>
      <c r="E86" s="17"/>
      <c r="F86" s="17"/>
      <c r="G86" s="17"/>
      <c r="H86" s="17"/>
    </row>
    <row r="87" spans="1:8" ht="15.75" customHeight="1" x14ac:dyDescent="0.25">
      <c r="A87" s="17"/>
      <c r="B87" s="17"/>
      <c r="C87" s="17"/>
      <c r="D87" s="17"/>
      <c r="E87" s="17"/>
      <c r="F87" s="17"/>
      <c r="G87" s="17"/>
      <c r="H87" s="17"/>
    </row>
    <row r="88" spans="1:8" ht="15.75" customHeight="1" x14ac:dyDescent="0.25">
      <c r="A88" s="17"/>
      <c r="B88" s="17"/>
      <c r="C88" s="17"/>
      <c r="D88" s="17"/>
      <c r="E88" s="17"/>
      <c r="F88" s="17"/>
      <c r="G88" s="17"/>
      <c r="H88" s="17"/>
    </row>
    <row r="89" spans="1:8" ht="15.75" customHeight="1" x14ac:dyDescent="0.25">
      <c r="A89" s="17"/>
      <c r="B89" s="17"/>
      <c r="C89" s="17"/>
      <c r="D89" s="17"/>
      <c r="E89" s="17"/>
      <c r="F89" s="17"/>
      <c r="G89" s="17"/>
      <c r="H89" s="17"/>
    </row>
    <row r="90" spans="1:8" ht="15.75" customHeight="1" x14ac:dyDescent="0.25">
      <c r="A90" s="17"/>
      <c r="B90" s="17"/>
      <c r="C90" s="17"/>
      <c r="D90" s="17"/>
      <c r="E90" s="17"/>
      <c r="F90" s="17"/>
      <c r="G90" s="17"/>
      <c r="H90" s="17"/>
    </row>
    <row r="91" spans="1:8" ht="15.75" customHeight="1" x14ac:dyDescent="0.25">
      <c r="A91" s="17"/>
      <c r="B91" s="17"/>
      <c r="C91" s="17"/>
      <c r="D91" s="17"/>
      <c r="E91" s="17"/>
      <c r="F91" s="17"/>
      <c r="G91" s="17"/>
      <c r="H91" s="17"/>
    </row>
    <row r="92" spans="1:8" ht="15.75" customHeight="1" x14ac:dyDescent="0.25">
      <c r="A92" s="17"/>
      <c r="B92" s="17"/>
      <c r="C92" s="17"/>
      <c r="D92" s="17"/>
      <c r="E92" s="17"/>
      <c r="F92" s="17"/>
      <c r="G92" s="17"/>
      <c r="H92" s="17"/>
    </row>
    <row r="93" spans="1:8" ht="15.75" customHeight="1" x14ac:dyDescent="0.25">
      <c r="A93" s="17"/>
      <c r="B93" s="17"/>
      <c r="C93" s="17"/>
      <c r="D93" s="17"/>
      <c r="E93" s="17"/>
      <c r="F93" s="17"/>
      <c r="G93" s="17"/>
      <c r="H93" s="17"/>
    </row>
    <row r="94" spans="1:8" ht="15.75" customHeight="1" x14ac:dyDescent="0.25">
      <c r="A94" s="17"/>
      <c r="B94" s="17"/>
      <c r="C94" s="17"/>
      <c r="D94" s="17"/>
      <c r="E94" s="17"/>
      <c r="F94" s="17"/>
      <c r="G94" s="17"/>
      <c r="H94" s="17"/>
    </row>
    <row r="95" spans="1:8" ht="15.75" customHeight="1" x14ac:dyDescent="0.25">
      <c r="A95" s="17"/>
      <c r="B95" s="17"/>
      <c r="C95" s="17"/>
      <c r="D95" s="17"/>
      <c r="E95" s="17"/>
      <c r="F95" s="17"/>
      <c r="G95" s="17"/>
      <c r="H95" s="17"/>
    </row>
    <row r="96" spans="1:8" ht="15.75" customHeight="1" x14ac:dyDescent="0.25">
      <c r="A96" s="17"/>
      <c r="B96" s="17"/>
      <c r="C96" s="17"/>
      <c r="D96" s="17"/>
      <c r="E96" s="17"/>
      <c r="F96" s="17"/>
      <c r="G96" s="17"/>
      <c r="H96" s="17"/>
    </row>
    <row r="97" spans="1:8" ht="15.75" customHeight="1" x14ac:dyDescent="0.25">
      <c r="A97" s="17"/>
      <c r="B97" s="17"/>
      <c r="C97" s="17"/>
      <c r="D97" s="17"/>
      <c r="E97" s="17"/>
      <c r="F97" s="17"/>
      <c r="G97" s="17"/>
      <c r="H97" s="17"/>
    </row>
    <row r="98" spans="1:8" ht="15.75" customHeight="1" x14ac:dyDescent="0.25">
      <c r="A98" s="17"/>
      <c r="B98" s="17"/>
      <c r="C98" s="17"/>
      <c r="D98" s="17"/>
      <c r="E98" s="17"/>
      <c r="F98" s="17"/>
      <c r="G98" s="17"/>
      <c r="H98" s="17"/>
    </row>
    <row r="99" spans="1:8" ht="15.75" customHeight="1" x14ac:dyDescent="0.25">
      <c r="A99" s="17"/>
      <c r="B99" s="17"/>
      <c r="C99" s="17"/>
      <c r="D99" s="17"/>
      <c r="E99" s="17"/>
      <c r="F99" s="17"/>
      <c r="G99" s="17"/>
      <c r="H99" s="17"/>
    </row>
    <row r="100" spans="1:8" ht="15.75" customHeight="1" x14ac:dyDescent="0.25">
      <c r="A100" s="17"/>
      <c r="B100" s="17"/>
      <c r="C100" s="17"/>
      <c r="D100" s="17"/>
      <c r="E100" s="17"/>
      <c r="F100" s="17"/>
      <c r="G100" s="17"/>
      <c r="H100" s="17"/>
    </row>
  </sheetData>
  <mergeCells count="19">
    <mergeCell ref="A1:H1"/>
    <mergeCell ref="A2:B2"/>
    <mergeCell ref="C2:D2"/>
    <mergeCell ref="E2:F2"/>
    <mergeCell ref="G2:H2"/>
    <mergeCell ref="A5:H5"/>
    <mergeCell ref="A32:D32"/>
    <mergeCell ref="A33:D33"/>
    <mergeCell ref="A34:D34"/>
    <mergeCell ref="C3:D3"/>
    <mergeCell ref="A17:D17"/>
    <mergeCell ref="A18:D18"/>
    <mergeCell ref="A19:D19"/>
    <mergeCell ref="A21:H21"/>
    <mergeCell ref="A29:D29"/>
    <mergeCell ref="A31:H31"/>
    <mergeCell ref="E3:F3"/>
    <mergeCell ref="G3:H3"/>
    <mergeCell ref="A3:B3"/>
  </mergeCells>
  <pageMargins left="0.75" right="0.75" top="1" bottom="1" header="0" footer="0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2E86AB"/>
  </sheetPr>
  <dimension ref="A1:H100"/>
  <sheetViews>
    <sheetView workbookViewId="0">
      <selection sqref="A1:H1"/>
    </sheetView>
  </sheetViews>
  <sheetFormatPr defaultColWidth="14.42578125" defaultRowHeight="15" customHeight="1" x14ac:dyDescent="0.25"/>
  <cols>
    <col min="1" max="1" width="10" customWidth="1"/>
    <col min="2" max="2" width="26" customWidth="1"/>
    <col min="3" max="7" width="16" customWidth="1"/>
    <col min="8" max="8" width="20" customWidth="1"/>
  </cols>
  <sheetData>
    <row r="1" spans="1:8" ht="27.75" customHeight="1" x14ac:dyDescent="0.25">
      <c r="A1" s="163" t="s">
        <v>231</v>
      </c>
      <c r="B1" s="146"/>
      <c r="C1" s="146"/>
      <c r="D1" s="146"/>
      <c r="E1" s="146"/>
      <c r="F1" s="146"/>
      <c r="G1" s="146"/>
      <c r="H1" s="147"/>
    </row>
    <row r="2" spans="1:8" ht="18" customHeight="1" x14ac:dyDescent="0.25">
      <c r="A2" s="164" t="s">
        <v>34</v>
      </c>
      <c r="B2" s="147"/>
      <c r="C2" s="164" t="s">
        <v>35</v>
      </c>
      <c r="D2" s="147"/>
      <c r="E2" s="164" t="s">
        <v>36</v>
      </c>
      <c r="F2" s="147"/>
      <c r="G2" s="164" t="s">
        <v>37</v>
      </c>
      <c r="H2" s="147"/>
    </row>
    <row r="3" spans="1:8" ht="21.75" customHeight="1" x14ac:dyDescent="0.25">
      <c r="A3" s="162">
        <f>E29</f>
        <v>4275</v>
      </c>
      <c r="B3" s="147"/>
      <c r="C3" s="154">
        <f>E19</f>
        <v>3080</v>
      </c>
      <c r="D3" s="147"/>
      <c r="E3" s="160">
        <f>E29-E19</f>
        <v>1195</v>
      </c>
      <c r="F3" s="147"/>
      <c r="G3" s="161">
        <f>IF(E29&gt;0,(E29-E19)/E29,0)</f>
        <v>0.27953216374269008</v>
      </c>
      <c r="H3" s="147"/>
    </row>
    <row r="4" spans="1:8" ht="14.25" customHeight="1" x14ac:dyDescent="0.25">
      <c r="A4" s="17"/>
      <c r="B4" s="17"/>
      <c r="C4" s="17"/>
      <c r="D4" s="17"/>
      <c r="E4" s="17"/>
      <c r="F4" s="17"/>
      <c r="G4" s="17"/>
      <c r="H4" s="17"/>
    </row>
    <row r="5" spans="1:8" ht="19.5" customHeight="1" x14ac:dyDescent="0.25">
      <c r="A5" s="150" t="s">
        <v>232</v>
      </c>
      <c r="B5" s="146"/>
      <c r="C5" s="146"/>
      <c r="D5" s="146"/>
      <c r="E5" s="146"/>
      <c r="F5" s="146"/>
      <c r="G5" s="146"/>
      <c r="H5" s="147"/>
    </row>
    <row r="6" spans="1:8" ht="15" customHeight="1" x14ac:dyDescent="0.25">
      <c r="A6" s="36" t="s">
        <v>22</v>
      </c>
      <c r="B6" s="36" t="s">
        <v>39</v>
      </c>
      <c r="C6" s="36" t="s">
        <v>40</v>
      </c>
      <c r="D6" s="36" t="s">
        <v>41</v>
      </c>
      <c r="E6" s="36" t="s">
        <v>42</v>
      </c>
      <c r="F6" s="36" t="s">
        <v>43</v>
      </c>
      <c r="G6" s="36" t="s">
        <v>44</v>
      </c>
      <c r="H6" s="36"/>
    </row>
    <row r="7" spans="1:8" ht="15" customHeight="1" x14ac:dyDescent="0.25">
      <c r="A7" s="37" t="s">
        <v>233</v>
      </c>
      <c r="B7" s="38" t="s">
        <v>46</v>
      </c>
      <c r="C7" s="37" t="s">
        <v>167</v>
      </c>
      <c r="D7" s="37" t="s">
        <v>48</v>
      </c>
      <c r="E7" s="39">
        <v>86</v>
      </c>
      <c r="F7" s="37"/>
      <c r="G7" s="37"/>
      <c r="H7" s="37"/>
    </row>
    <row r="8" spans="1:8" ht="15" customHeight="1" x14ac:dyDescent="0.25">
      <c r="A8" s="40" t="s">
        <v>233</v>
      </c>
      <c r="B8" s="41" t="s">
        <v>49</v>
      </c>
      <c r="C8" s="40"/>
      <c r="D8" s="40" t="s">
        <v>50</v>
      </c>
      <c r="E8" s="42">
        <v>216</v>
      </c>
      <c r="F8" s="40"/>
      <c r="G8" s="40"/>
      <c r="H8" s="40"/>
    </row>
    <row r="9" spans="1:8" ht="15" customHeight="1" x14ac:dyDescent="0.25">
      <c r="A9" s="37" t="s">
        <v>233</v>
      </c>
      <c r="B9" s="38" t="s">
        <v>51</v>
      </c>
      <c r="C9" s="37"/>
      <c r="D9" s="37" t="s">
        <v>50</v>
      </c>
      <c r="E9" s="39">
        <v>230</v>
      </c>
      <c r="F9" s="37"/>
      <c r="G9" s="37"/>
      <c r="H9" s="37"/>
    </row>
    <row r="10" spans="1:8" ht="15" customHeight="1" x14ac:dyDescent="0.25">
      <c r="A10" s="40" t="s">
        <v>233</v>
      </c>
      <c r="B10" s="41" t="s">
        <v>52</v>
      </c>
      <c r="C10" s="40"/>
      <c r="D10" s="40" t="s">
        <v>50</v>
      </c>
      <c r="E10" s="42">
        <v>95</v>
      </c>
      <c r="F10" s="40"/>
      <c r="G10" s="40"/>
      <c r="H10" s="40"/>
    </row>
    <row r="11" spans="1:8" ht="15" customHeight="1" x14ac:dyDescent="0.25">
      <c r="A11" s="37" t="s">
        <v>233</v>
      </c>
      <c r="B11" s="38" t="s">
        <v>53</v>
      </c>
      <c r="C11" s="37"/>
      <c r="D11" s="37" t="s">
        <v>50</v>
      </c>
      <c r="E11" s="39">
        <v>120</v>
      </c>
      <c r="F11" s="37"/>
      <c r="G11" s="37"/>
      <c r="H11" s="37"/>
    </row>
    <row r="12" spans="1:8" ht="15" customHeight="1" x14ac:dyDescent="0.25">
      <c r="A12" s="40" t="s">
        <v>233</v>
      </c>
      <c r="B12" s="41" t="s">
        <v>54</v>
      </c>
      <c r="C12" s="40"/>
      <c r="D12" s="40" t="s">
        <v>50</v>
      </c>
      <c r="E12" s="42">
        <v>288</v>
      </c>
      <c r="F12" s="40"/>
      <c r="G12" s="40"/>
      <c r="H12" s="40"/>
    </row>
    <row r="13" spans="1:8" ht="15" customHeight="1" x14ac:dyDescent="0.25">
      <c r="A13" s="37" t="s">
        <v>233</v>
      </c>
      <c r="B13" s="38" t="s">
        <v>55</v>
      </c>
      <c r="C13" s="37"/>
      <c r="D13" s="37" t="s">
        <v>50</v>
      </c>
      <c r="E13" s="39">
        <v>135</v>
      </c>
      <c r="F13" s="37"/>
      <c r="G13" s="37"/>
      <c r="H13" s="37"/>
    </row>
    <row r="14" spans="1:8" ht="15" customHeight="1" x14ac:dyDescent="0.25">
      <c r="A14" s="40" t="s">
        <v>233</v>
      </c>
      <c r="B14" s="40" t="s">
        <v>126</v>
      </c>
      <c r="C14" s="31"/>
      <c r="D14" s="40" t="s">
        <v>50</v>
      </c>
      <c r="E14" s="107">
        <f>'💳 Empréstimo'!F31</f>
        <v>560</v>
      </c>
      <c r="F14" s="31"/>
      <c r="G14" s="40" t="s">
        <v>234</v>
      </c>
      <c r="H14" s="31"/>
    </row>
    <row r="15" spans="1:8" ht="15" customHeight="1" x14ac:dyDescent="0.25">
      <c r="A15" s="31"/>
      <c r="B15" s="31"/>
      <c r="C15" s="31"/>
      <c r="D15" s="31"/>
      <c r="E15" s="29"/>
      <c r="F15" s="31"/>
      <c r="G15" s="31"/>
      <c r="H15" s="31"/>
    </row>
    <row r="16" spans="1:8" ht="15" customHeight="1" x14ac:dyDescent="0.25">
      <c r="A16" s="31"/>
      <c r="B16" s="31"/>
      <c r="C16" s="31"/>
      <c r="D16" s="31"/>
      <c r="E16" s="29"/>
      <c r="F16" s="31"/>
      <c r="G16" s="31"/>
      <c r="H16" s="31"/>
    </row>
    <row r="17" spans="1:8" ht="15" customHeight="1" x14ac:dyDescent="0.25">
      <c r="A17" s="155" t="s">
        <v>56</v>
      </c>
      <c r="B17" s="152"/>
      <c r="C17" s="152"/>
      <c r="D17" s="153"/>
      <c r="E17" s="43">
        <f>SUM(E7:E16)</f>
        <v>1730</v>
      </c>
      <c r="F17" s="44"/>
      <c r="G17" s="44"/>
      <c r="H17" s="44"/>
    </row>
    <row r="18" spans="1:8" ht="15" customHeight="1" x14ac:dyDescent="0.25">
      <c r="A18" s="156" t="s">
        <v>57</v>
      </c>
      <c r="B18" s="152"/>
      <c r="C18" s="152"/>
      <c r="D18" s="153"/>
      <c r="E18" s="45">
        <v>1350</v>
      </c>
      <c r="F18" s="44"/>
      <c r="G18" s="44"/>
      <c r="H18" s="44"/>
    </row>
    <row r="19" spans="1:8" ht="15" customHeight="1" x14ac:dyDescent="0.25">
      <c r="A19" s="157" t="s">
        <v>58</v>
      </c>
      <c r="B19" s="152"/>
      <c r="C19" s="152"/>
      <c r="D19" s="153"/>
      <c r="E19" s="46">
        <f>E17+E18</f>
        <v>3080</v>
      </c>
      <c r="F19" s="47"/>
      <c r="G19" s="47"/>
      <c r="H19" s="47"/>
    </row>
    <row r="20" spans="1:8" ht="14.25" customHeight="1" x14ac:dyDescent="0.25">
      <c r="A20" s="17"/>
      <c r="B20" s="17"/>
      <c r="C20" s="17"/>
      <c r="D20" s="17"/>
      <c r="E20" s="17"/>
      <c r="F20" s="17"/>
      <c r="G20" s="17"/>
      <c r="H20" s="17"/>
    </row>
    <row r="21" spans="1:8" ht="19.5" customHeight="1" x14ac:dyDescent="0.25">
      <c r="A21" s="158" t="s">
        <v>235</v>
      </c>
      <c r="B21" s="146"/>
      <c r="C21" s="146"/>
      <c r="D21" s="146"/>
      <c r="E21" s="146"/>
      <c r="F21" s="146"/>
      <c r="G21" s="146"/>
      <c r="H21" s="147"/>
    </row>
    <row r="22" spans="1:8" ht="15" customHeight="1" x14ac:dyDescent="0.25">
      <c r="A22" s="48" t="s">
        <v>22</v>
      </c>
      <c r="B22" s="48" t="s">
        <v>39</v>
      </c>
      <c r="C22" s="48" t="s">
        <v>40</v>
      </c>
      <c r="D22" s="48" t="s">
        <v>41</v>
      </c>
      <c r="E22" s="48" t="s">
        <v>42</v>
      </c>
      <c r="F22" s="48" t="s">
        <v>60</v>
      </c>
      <c r="G22" s="48" t="s">
        <v>44</v>
      </c>
      <c r="H22" s="48"/>
    </row>
    <row r="23" spans="1:8" ht="15" customHeight="1" x14ac:dyDescent="0.25">
      <c r="A23" s="49" t="s">
        <v>233</v>
      </c>
      <c r="B23" s="50" t="s">
        <v>61</v>
      </c>
      <c r="C23" s="49" t="s">
        <v>62</v>
      </c>
      <c r="D23" s="49" t="s">
        <v>50</v>
      </c>
      <c r="E23" s="51">
        <v>1475</v>
      </c>
      <c r="F23" s="49"/>
      <c r="G23" s="49"/>
      <c r="H23" s="49"/>
    </row>
    <row r="24" spans="1:8" ht="15" customHeight="1" x14ac:dyDescent="0.25">
      <c r="A24" s="52" t="s">
        <v>233</v>
      </c>
      <c r="B24" s="53" t="s">
        <v>63</v>
      </c>
      <c r="C24" s="52" t="s">
        <v>62</v>
      </c>
      <c r="D24" s="52" t="s">
        <v>50</v>
      </c>
      <c r="E24" s="54">
        <v>1300</v>
      </c>
      <c r="F24" s="52"/>
      <c r="G24" s="52"/>
      <c r="H24" s="52"/>
    </row>
    <row r="25" spans="1:8" ht="15" customHeight="1" x14ac:dyDescent="0.25">
      <c r="A25" s="49" t="s">
        <v>233</v>
      </c>
      <c r="B25" s="50" t="s">
        <v>64</v>
      </c>
      <c r="C25" s="49" t="s">
        <v>62</v>
      </c>
      <c r="D25" s="49" t="s">
        <v>50</v>
      </c>
      <c r="E25" s="51">
        <v>1500</v>
      </c>
      <c r="F25" s="49"/>
      <c r="G25" s="49"/>
      <c r="H25" s="49"/>
    </row>
    <row r="26" spans="1:8" ht="15" customHeight="1" x14ac:dyDescent="0.25">
      <c r="A26" s="52"/>
      <c r="B26" s="53"/>
      <c r="C26" s="52"/>
      <c r="D26" s="52"/>
      <c r="E26" s="54"/>
      <c r="F26" s="52"/>
      <c r="G26" s="52"/>
      <c r="H26" s="52"/>
    </row>
    <row r="27" spans="1:8" ht="15" customHeight="1" x14ac:dyDescent="0.25">
      <c r="A27" s="55"/>
      <c r="B27" s="55"/>
      <c r="C27" s="55"/>
      <c r="D27" s="55"/>
      <c r="E27" s="56"/>
      <c r="F27" s="55"/>
      <c r="G27" s="55"/>
      <c r="H27" s="55"/>
    </row>
    <row r="28" spans="1:8" ht="15" customHeight="1" x14ac:dyDescent="0.25">
      <c r="A28" s="55"/>
      <c r="B28" s="55"/>
      <c r="C28" s="55"/>
      <c r="D28" s="55"/>
      <c r="E28" s="56"/>
      <c r="F28" s="55"/>
      <c r="G28" s="55"/>
      <c r="H28" s="55"/>
    </row>
    <row r="29" spans="1:8" ht="15" customHeight="1" x14ac:dyDescent="0.25">
      <c r="A29" s="157" t="s">
        <v>66</v>
      </c>
      <c r="B29" s="152"/>
      <c r="C29" s="152"/>
      <c r="D29" s="153"/>
      <c r="E29" s="46">
        <f>SUM(E23:E28)</f>
        <v>4275</v>
      </c>
      <c r="F29" s="47"/>
      <c r="G29" s="47"/>
      <c r="H29" s="47"/>
    </row>
    <row r="30" spans="1:8" ht="15.75" customHeight="1" x14ac:dyDescent="0.25">
      <c r="A30" s="17"/>
      <c r="B30" s="17"/>
      <c r="C30" s="17"/>
      <c r="D30" s="17"/>
      <c r="E30" s="17"/>
      <c r="F30" s="17"/>
      <c r="G30" s="17"/>
      <c r="H30" s="17"/>
    </row>
    <row r="31" spans="1:8" ht="19.5" customHeight="1" x14ac:dyDescent="0.25">
      <c r="A31" s="159" t="s">
        <v>67</v>
      </c>
      <c r="B31" s="146"/>
      <c r="C31" s="146"/>
      <c r="D31" s="146"/>
      <c r="E31" s="146"/>
      <c r="F31" s="146"/>
      <c r="G31" s="146"/>
      <c r="H31" s="147"/>
    </row>
    <row r="32" spans="1:8" ht="15" customHeight="1" x14ac:dyDescent="0.25">
      <c r="A32" s="151" t="s">
        <v>68</v>
      </c>
      <c r="B32" s="152"/>
      <c r="C32" s="152"/>
      <c r="D32" s="153"/>
      <c r="E32" s="57">
        <f>E29-E19</f>
        <v>1195</v>
      </c>
      <c r="F32" s="58"/>
      <c r="G32" s="58"/>
      <c r="H32" s="58"/>
    </row>
    <row r="33" spans="1:8" ht="15" customHeight="1" x14ac:dyDescent="0.25">
      <c r="A33" s="151" t="s">
        <v>76</v>
      </c>
      <c r="B33" s="152"/>
      <c r="C33" s="152"/>
      <c r="D33" s="153"/>
      <c r="E33" s="57">
        <f>0.7*(E29-E19)</f>
        <v>836.5</v>
      </c>
      <c r="F33" s="58"/>
      <c r="G33" s="58"/>
      <c r="H33" s="58"/>
    </row>
    <row r="34" spans="1:8" ht="15" customHeight="1" x14ac:dyDescent="0.25">
      <c r="A34" s="151" t="s">
        <v>70</v>
      </c>
      <c r="B34" s="152"/>
      <c r="C34" s="152"/>
      <c r="D34" s="153"/>
      <c r="E34" s="57">
        <f>E19/6</f>
        <v>513.33333333333337</v>
      </c>
      <c r="F34" s="58"/>
      <c r="G34" s="58"/>
      <c r="H34" s="58"/>
    </row>
    <row r="35" spans="1:8" ht="15.75" customHeight="1" x14ac:dyDescent="0.25">
      <c r="A35" s="17"/>
      <c r="B35" s="17"/>
      <c r="C35" s="17"/>
      <c r="D35" s="17"/>
      <c r="E35" s="17"/>
      <c r="F35" s="17"/>
      <c r="G35" s="17"/>
      <c r="H35" s="17"/>
    </row>
    <row r="36" spans="1:8" ht="15.75" customHeight="1" x14ac:dyDescent="0.25">
      <c r="A36" s="17"/>
      <c r="B36" s="17"/>
      <c r="C36" s="17"/>
      <c r="D36" s="17"/>
      <c r="E36" s="17"/>
      <c r="F36" s="17"/>
      <c r="G36" s="17"/>
      <c r="H36" s="17"/>
    </row>
    <row r="37" spans="1:8" ht="15.75" customHeight="1" x14ac:dyDescent="0.25">
      <c r="A37" s="17"/>
      <c r="B37" s="17"/>
      <c r="C37" s="17"/>
      <c r="D37" s="17"/>
      <c r="E37" s="17"/>
      <c r="F37" s="17"/>
      <c r="G37" s="17"/>
      <c r="H37" s="17"/>
    </row>
    <row r="38" spans="1:8" ht="15.75" customHeight="1" x14ac:dyDescent="0.25">
      <c r="A38" s="17"/>
      <c r="B38" s="17"/>
      <c r="C38" s="17"/>
      <c r="D38" s="17"/>
      <c r="E38" s="17"/>
      <c r="F38" s="17"/>
      <c r="G38" s="17"/>
      <c r="H38" s="17"/>
    </row>
    <row r="39" spans="1:8" ht="15.75" customHeight="1" x14ac:dyDescent="0.25">
      <c r="A39" s="17"/>
      <c r="B39" s="17"/>
      <c r="C39" s="17"/>
      <c r="D39" s="17"/>
      <c r="E39" s="17"/>
      <c r="F39" s="17"/>
      <c r="G39" s="17"/>
      <c r="H39" s="17"/>
    </row>
    <row r="40" spans="1:8" ht="15.75" customHeight="1" x14ac:dyDescent="0.25">
      <c r="A40" s="17"/>
      <c r="B40" s="17"/>
      <c r="C40" s="17"/>
      <c r="D40" s="17"/>
      <c r="E40" s="17"/>
      <c r="F40" s="17"/>
      <c r="G40" s="17"/>
      <c r="H40" s="17"/>
    </row>
    <row r="41" spans="1:8" ht="15.75" customHeight="1" x14ac:dyDescent="0.25">
      <c r="A41" s="17"/>
      <c r="B41" s="17"/>
      <c r="C41" s="17"/>
      <c r="D41" s="17"/>
      <c r="E41" s="17"/>
      <c r="F41" s="17"/>
      <c r="G41" s="17"/>
      <c r="H41" s="17"/>
    </row>
    <row r="42" spans="1:8" ht="15.75" customHeight="1" x14ac:dyDescent="0.25">
      <c r="A42" s="17"/>
      <c r="B42" s="17"/>
      <c r="C42" s="17"/>
      <c r="D42" s="17"/>
      <c r="E42" s="17"/>
      <c r="F42" s="17"/>
      <c r="G42" s="17"/>
      <c r="H42" s="17"/>
    </row>
    <row r="43" spans="1:8" ht="15.75" customHeight="1" x14ac:dyDescent="0.25">
      <c r="A43" s="17"/>
      <c r="B43" s="17"/>
      <c r="C43" s="17"/>
      <c r="D43" s="17"/>
      <c r="E43" s="17"/>
      <c r="F43" s="17"/>
      <c r="G43" s="17"/>
      <c r="H43" s="17"/>
    </row>
    <row r="44" spans="1:8" ht="15.75" customHeight="1" x14ac:dyDescent="0.25">
      <c r="A44" s="17"/>
      <c r="B44" s="17"/>
      <c r="C44" s="17"/>
      <c r="D44" s="17"/>
      <c r="E44" s="17"/>
      <c r="F44" s="17"/>
      <c r="G44" s="17"/>
      <c r="H44" s="17"/>
    </row>
    <row r="45" spans="1:8" ht="15.75" customHeight="1" x14ac:dyDescent="0.25">
      <c r="A45" s="17"/>
      <c r="B45" s="17"/>
      <c r="C45" s="17"/>
      <c r="D45" s="17"/>
      <c r="E45" s="17"/>
      <c r="F45" s="17"/>
      <c r="G45" s="17"/>
      <c r="H45" s="17"/>
    </row>
    <row r="46" spans="1:8" ht="15.75" customHeight="1" x14ac:dyDescent="0.25">
      <c r="A46" s="17"/>
      <c r="B46" s="17"/>
      <c r="C46" s="17"/>
      <c r="D46" s="17"/>
      <c r="E46" s="17"/>
      <c r="F46" s="17"/>
      <c r="G46" s="17"/>
      <c r="H46" s="17"/>
    </row>
    <row r="47" spans="1:8" ht="15.75" customHeight="1" x14ac:dyDescent="0.25">
      <c r="A47" s="17"/>
      <c r="B47" s="17"/>
      <c r="C47" s="17"/>
      <c r="D47" s="17"/>
      <c r="E47" s="17"/>
      <c r="F47" s="17"/>
      <c r="G47" s="17"/>
      <c r="H47" s="17"/>
    </row>
    <row r="48" spans="1:8" ht="15.75" customHeight="1" x14ac:dyDescent="0.25">
      <c r="A48" s="17"/>
      <c r="B48" s="17"/>
      <c r="C48" s="17"/>
      <c r="D48" s="17"/>
      <c r="E48" s="17"/>
      <c r="F48" s="17"/>
      <c r="G48" s="17"/>
      <c r="H48" s="17"/>
    </row>
    <row r="49" spans="1:8" ht="15.75" customHeight="1" x14ac:dyDescent="0.25">
      <c r="A49" s="17"/>
      <c r="B49" s="17"/>
      <c r="C49" s="17"/>
      <c r="D49" s="17"/>
      <c r="E49" s="17"/>
      <c r="F49" s="17"/>
      <c r="G49" s="17"/>
      <c r="H49" s="17"/>
    </row>
    <row r="50" spans="1:8" ht="15.75" customHeight="1" x14ac:dyDescent="0.25">
      <c r="A50" s="17"/>
      <c r="B50" s="17"/>
      <c r="C50" s="17"/>
      <c r="D50" s="17"/>
      <c r="E50" s="17"/>
      <c r="F50" s="17"/>
      <c r="G50" s="17"/>
      <c r="H50" s="17"/>
    </row>
    <row r="51" spans="1:8" ht="15.75" customHeight="1" x14ac:dyDescent="0.25">
      <c r="A51" s="17"/>
      <c r="B51" s="17"/>
      <c r="C51" s="17"/>
      <c r="D51" s="17"/>
      <c r="E51" s="17"/>
      <c r="F51" s="17"/>
      <c r="G51" s="17"/>
      <c r="H51" s="17"/>
    </row>
    <row r="52" spans="1:8" ht="15.75" customHeight="1" x14ac:dyDescent="0.25">
      <c r="A52" s="17"/>
      <c r="B52" s="17"/>
      <c r="C52" s="17"/>
      <c r="D52" s="17"/>
      <c r="E52" s="17"/>
      <c r="F52" s="17"/>
      <c r="G52" s="17"/>
      <c r="H52" s="17"/>
    </row>
    <row r="53" spans="1:8" ht="15.75" customHeight="1" x14ac:dyDescent="0.25">
      <c r="A53" s="17"/>
      <c r="B53" s="17"/>
      <c r="C53" s="17"/>
      <c r="D53" s="17"/>
      <c r="E53" s="17"/>
      <c r="F53" s="17"/>
      <c r="G53" s="17"/>
      <c r="H53" s="17"/>
    </row>
    <row r="54" spans="1:8" ht="15.75" customHeight="1" x14ac:dyDescent="0.25">
      <c r="A54" s="17"/>
      <c r="B54" s="17"/>
      <c r="C54" s="17"/>
      <c r="D54" s="17"/>
      <c r="E54" s="17"/>
      <c r="F54" s="17"/>
      <c r="G54" s="17"/>
      <c r="H54" s="17"/>
    </row>
    <row r="55" spans="1:8" ht="15.75" customHeight="1" x14ac:dyDescent="0.25">
      <c r="A55" s="17"/>
      <c r="B55" s="17"/>
      <c r="C55" s="17"/>
      <c r="D55" s="17"/>
      <c r="E55" s="17"/>
      <c r="F55" s="17"/>
      <c r="G55" s="17"/>
      <c r="H55" s="17"/>
    </row>
    <row r="56" spans="1:8" ht="15.75" customHeight="1" x14ac:dyDescent="0.25">
      <c r="A56" s="17"/>
      <c r="B56" s="17"/>
      <c r="C56" s="17"/>
      <c r="D56" s="17"/>
      <c r="E56" s="17"/>
      <c r="F56" s="17"/>
      <c r="G56" s="17"/>
      <c r="H56" s="17"/>
    </row>
    <row r="57" spans="1:8" ht="15.75" customHeight="1" x14ac:dyDescent="0.25">
      <c r="A57" s="17"/>
      <c r="B57" s="17"/>
      <c r="C57" s="17"/>
      <c r="D57" s="17"/>
      <c r="E57" s="17"/>
      <c r="F57" s="17"/>
      <c r="G57" s="17"/>
      <c r="H57" s="17"/>
    </row>
    <row r="58" spans="1:8" ht="15.75" customHeight="1" x14ac:dyDescent="0.25">
      <c r="A58" s="17"/>
      <c r="B58" s="17"/>
      <c r="C58" s="17"/>
      <c r="D58" s="17"/>
      <c r="E58" s="17"/>
      <c r="F58" s="17"/>
      <c r="G58" s="17"/>
      <c r="H58" s="17"/>
    </row>
    <row r="59" spans="1:8" ht="15.75" customHeight="1" x14ac:dyDescent="0.25">
      <c r="A59" s="17"/>
      <c r="B59" s="17"/>
      <c r="C59" s="17"/>
      <c r="D59" s="17"/>
      <c r="E59" s="17"/>
      <c r="F59" s="17"/>
      <c r="G59" s="17"/>
      <c r="H59" s="17"/>
    </row>
    <row r="60" spans="1:8" ht="15.75" customHeight="1" x14ac:dyDescent="0.25">
      <c r="A60" s="17"/>
      <c r="B60" s="17"/>
      <c r="C60" s="17"/>
      <c r="D60" s="17"/>
      <c r="E60" s="17"/>
      <c r="F60" s="17"/>
      <c r="G60" s="17"/>
      <c r="H60" s="17"/>
    </row>
    <row r="61" spans="1:8" ht="15.75" customHeight="1" x14ac:dyDescent="0.25">
      <c r="A61" s="17"/>
      <c r="B61" s="17"/>
      <c r="C61" s="17"/>
      <c r="D61" s="17"/>
      <c r="E61" s="17"/>
      <c r="F61" s="17"/>
      <c r="G61" s="17"/>
      <c r="H61" s="17"/>
    </row>
    <row r="62" spans="1:8" ht="15.75" customHeight="1" x14ac:dyDescent="0.25">
      <c r="A62" s="17"/>
      <c r="B62" s="17"/>
      <c r="C62" s="17"/>
      <c r="D62" s="17"/>
      <c r="E62" s="17"/>
      <c r="F62" s="17"/>
      <c r="G62" s="17"/>
      <c r="H62" s="17"/>
    </row>
    <row r="63" spans="1:8" ht="15.75" customHeight="1" x14ac:dyDescent="0.25">
      <c r="A63" s="17"/>
      <c r="B63" s="17"/>
      <c r="C63" s="17"/>
      <c r="D63" s="17"/>
      <c r="E63" s="17"/>
      <c r="F63" s="17"/>
      <c r="G63" s="17"/>
      <c r="H63" s="17"/>
    </row>
    <row r="64" spans="1:8" ht="15.75" customHeight="1" x14ac:dyDescent="0.25">
      <c r="A64" s="17"/>
      <c r="B64" s="17"/>
      <c r="C64" s="17"/>
      <c r="D64" s="17"/>
      <c r="E64" s="17"/>
      <c r="F64" s="17"/>
      <c r="G64" s="17"/>
      <c r="H64" s="17"/>
    </row>
    <row r="65" spans="1:8" ht="15.75" customHeight="1" x14ac:dyDescent="0.25">
      <c r="A65" s="17"/>
      <c r="B65" s="17"/>
      <c r="C65" s="17"/>
      <c r="D65" s="17"/>
      <c r="E65" s="17"/>
      <c r="F65" s="17"/>
      <c r="G65" s="17"/>
      <c r="H65" s="17"/>
    </row>
    <row r="66" spans="1:8" ht="15.75" customHeight="1" x14ac:dyDescent="0.25">
      <c r="A66" s="17"/>
      <c r="B66" s="17"/>
      <c r="C66" s="17"/>
      <c r="D66" s="17"/>
      <c r="E66" s="17"/>
      <c r="F66" s="17"/>
      <c r="G66" s="17"/>
      <c r="H66" s="17"/>
    </row>
    <row r="67" spans="1:8" ht="15.75" customHeight="1" x14ac:dyDescent="0.25">
      <c r="A67" s="17"/>
      <c r="B67" s="17"/>
      <c r="C67" s="17"/>
      <c r="D67" s="17"/>
      <c r="E67" s="17"/>
      <c r="F67" s="17"/>
      <c r="G67" s="17"/>
      <c r="H67" s="17"/>
    </row>
    <row r="68" spans="1:8" ht="15.75" customHeight="1" x14ac:dyDescent="0.25">
      <c r="A68" s="17"/>
      <c r="B68" s="17"/>
      <c r="C68" s="17"/>
      <c r="D68" s="17"/>
      <c r="E68" s="17"/>
      <c r="F68" s="17"/>
      <c r="G68" s="17"/>
      <c r="H68" s="17"/>
    </row>
    <row r="69" spans="1:8" ht="15.75" customHeight="1" x14ac:dyDescent="0.25">
      <c r="A69" s="17"/>
      <c r="B69" s="17"/>
      <c r="C69" s="17"/>
      <c r="D69" s="17"/>
      <c r="E69" s="17"/>
      <c r="F69" s="17"/>
      <c r="G69" s="17"/>
      <c r="H69" s="17"/>
    </row>
    <row r="70" spans="1:8" ht="15.75" customHeight="1" x14ac:dyDescent="0.25">
      <c r="A70" s="17"/>
      <c r="B70" s="17"/>
      <c r="C70" s="17"/>
      <c r="D70" s="17"/>
      <c r="E70" s="17"/>
      <c r="F70" s="17"/>
      <c r="G70" s="17"/>
      <c r="H70" s="17"/>
    </row>
    <row r="71" spans="1:8" ht="15.75" customHeight="1" x14ac:dyDescent="0.25">
      <c r="A71" s="17"/>
      <c r="B71" s="17"/>
      <c r="C71" s="17"/>
      <c r="D71" s="17"/>
      <c r="E71" s="17"/>
      <c r="F71" s="17"/>
      <c r="G71" s="17"/>
      <c r="H71" s="17"/>
    </row>
    <row r="72" spans="1:8" ht="15.75" customHeight="1" x14ac:dyDescent="0.25">
      <c r="A72" s="17"/>
      <c r="B72" s="17"/>
      <c r="C72" s="17"/>
      <c r="D72" s="17"/>
      <c r="E72" s="17"/>
      <c r="F72" s="17"/>
      <c r="G72" s="17"/>
      <c r="H72" s="17"/>
    </row>
    <row r="73" spans="1:8" ht="15.75" customHeight="1" x14ac:dyDescent="0.25">
      <c r="A73" s="17"/>
      <c r="B73" s="17"/>
      <c r="C73" s="17"/>
      <c r="D73" s="17"/>
      <c r="E73" s="17"/>
      <c r="F73" s="17"/>
      <c r="G73" s="17"/>
      <c r="H73" s="17"/>
    </row>
    <row r="74" spans="1:8" ht="15.75" customHeight="1" x14ac:dyDescent="0.25">
      <c r="A74" s="17"/>
      <c r="B74" s="17"/>
      <c r="C74" s="17"/>
      <c r="D74" s="17"/>
      <c r="E74" s="17"/>
      <c r="F74" s="17"/>
      <c r="G74" s="17"/>
      <c r="H74" s="17"/>
    </row>
    <row r="75" spans="1:8" ht="15.75" customHeight="1" x14ac:dyDescent="0.25">
      <c r="A75" s="17"/>
      <c r="B75" s="17"/>
      <c r="C75" s="17"/>
      <c r="D75" s="17"/>
      <c r="E75" s="17"/>
      <c r="F75" s="17"/>
      <c r="G75" s="17"/>
      <c r="H75" s="17"/>
    </row>
    <row r="76" spans="1:8" ht="15.75" customHeight="1" x14ac:dyDescent="0.25">
      <c r="A76" s="17"/>
      <c r="B76" s="17"/>
      <c r="C76" s="17"/>
      <c r="D76" s="17"/>
      <c r="E76" s="17"/>
      <c r="F76" s="17"/>
      <c r="G76" s="17"/>
      <c r="H76" s="17"/>
    </row>
    <row r="77" spans="1:8" ht="15.75" customHeight="1" x14ac:dyDescent="0.25">
      <c r="A77" s="17"/>
      <c r="B77" s="17"/>
      <c r="C77" s="17"/>
      <c r="D77" s="17"/>
      <c r="E77" s="17"/>
      <c r="F77" s="17"/>
      <c r="G77" s="17"/>
      <c r="H77" s="17"/>
    </row>
    <row r="78" spans="1:8" ht="15.75" customHeight="1" x14ac:dyDescent="0.25">
      <c r="A78" s="17"/>
      <c r="B78" s="17"/>
      <c r="C78" s="17"/>
      <c r="D78" s="17"/>
      <c r="E78" s="17"/>
      <c r="F78" s="17"/>
      <c r="G78" s="17"/>
      <c r="H78" s="17"/>
    </row>
    <row r="79" spans="1:8" ht="15.75" customHeight="1" x14ac:dyDescent="0.25">
      <c r="A79" s="17"/>
      <c r="B79" s="17"/>
      <c r="C79" s="17"/>
      <c r="D79" s="17"/>
      <c r="E79" s="17"/>
      <c r="F79" s="17"/>
      <c r="G79" s="17"/>
      <c r="H79" s="17"/>
    </row>
    <row r="80" spans="1:8" ht="15.75" customHeight="1" x14ac:dyDescent="0.25">
      <c r="A80" s="17"/>
      <c r="B80" s="17"/>
      <c r="C80" s="17"/>
      <c r="D80" s="17"/>
      <c r="E80" s="17"/>
      <c r="F80" s="17"/>
      <c r="G80" s="17"/>
      <c r="H80" s="17"/>
    </row>
    <row r="81" spans="1:8" ht="15.75" customHeight="1" x14ac:dyDescent="0.25">
      <c r="A81" s="17"/>
      <c r="B81" s="17"/>
      <c r="C81" s="17"/>
      <c r="D81" s="17"/>
      <c r="E81" s="17"/>
      <c r="F81" s="17"/>
      <c r="G81" s="17"/>
      <c r="H81" s="17"/>
    </row>
    <row r="82" spans="1:8" ht="15.75" customHeight="1" x14ac:dyDescent="0.25">
      <c r="A82" s="17"/>
      <c r="B82" s="17"/>
      <c r="C82" s="17"/>
      <c r="D82" s="17"/>
      <c r="E82" s="17"/>
      <c r="F82" s="17"/>
      <c r="G82" s="17"/>
      <c r="H82" s="17"/>
    </row>
    <row r="83" spans="1:8" ht="15.75" customHeight="1" x14ac:dyDescent="0.25">
      <c r="A83" s="17"/>
      <c r="B83" s="17"/>
      <c r="C83" s="17"/>
      <c r="D83" s="17"/>
      <c r="E83" s="17"/>
      <c r="F83" s="17"/>
      <c r="G83" s="17"/>
      <c r="H83" s="17"/>
    </row>
    <row r="84" spans="1:8" ht="15.75" customHeight="1" x14ac:dyDescent="0.25">
      <c r="A84" s="17"/>
      <c r="B84" s="17"/>
      <c r="C84" s="17"/>
      <c r="D84" s="17"/>
      <c r="E84" s="17"/>
      <c r="F84" s="17"/>
      <c r="G84" s="17"/>
      <c r="H84" s="17"/>
    </row>
    <row r="85" spans="1:8" ht="15.75" customHeight="1" x14ac:dyDescent="0.25">
      <c r="A85" s="17"/>
      <c r="B85" s="17"/>
      <c r="C85" s="17"/>
      <c r="D85" s="17"/>
      <c r="E85" s="17"/>
      <c r="F85" s="17"/>
      <c r="G85" s="17"/>
      <c r="H85" s="17"/>
    </row>
    <row r="86" spans="1:8" ht="15.75" customHeight="1" x14ac:dyDescent="0.25">
      <c r="A86" s="17"/>
      <c r="B86" s="17"/>
      <c r="C86" s="17"/>
      <c r="D86" s="17"/>
      <c r="E86" s="17"/>
      <c r="F86" s="17"/>
      <c r="G86" s="17"/>
      <c r="H86" s="17"/>
    </row>
    <row r="87" spans="1:8" ht="15.75" customHeight="1" x14ac:dyDescent="0.25">
      <c r="A87" s="17"/>
      <c r="B87" s="17"/>
      <c r="C87" s="17"/>
      <c r="D87" s="17"/>
      <c r="E87" s="17"/>
      <c r="F87" s="17"/>
      <c r="G87" s="17"/>
      <c r="H87" s="17"/>
    </row>
    <row r="88" spans="1:8" ht="15.75" customHeight="1" x14ac:dyDescent="0.25">
      <c r="A88" s="17"/>
      <c r="B88" s="17"/>
      <c r="C88" s="17"/>
      <c r="D88" s="17"/>
      <c r="E88" s="17"/>
      <c r="F88" s="17"/>
      <c r="G88" s="17"/>
      <c r="H88" s="17"/>
    </row>
    <row r="89" spans="1:8" ht="15.75" customHeight="1" x14ac:dyDescent="0.25">
      <c r="A89" s="17"/>
      <c r="B89" s="17"/>
      <c r="C89" s="17"/>
      <c r="D89" s="17"/>
      <c r="E89" s="17"/>
      <c r="F89" s="17"/>
      <c r="G89" s="17"/>
      <c r="H89" s="17"/>
    </row>
    <row r="90" spans="1:8" ht="15.75" customHeight="1" x14ac:dyDescent="0.25">
      <c r="A90" s="17"/>
      <c r="B90" s="17"/>
      <c r="C90" s="17"/>
      <c r="D90" s="17"/>
      <c r="E90" s="17"/>
      <c r="F90" s="17"/>
      <c r="G90" s="17"/>
      <c r="H90" s="17"/>
    </row>
    <row r="91" spans="1:8" ht="15.75" customHeight="1" x14ac:dyDescent="0.25">
      <c r="A91" s="17"/>
      <c r="B91" s="17"/>
      <c r="C91" s="17"/>
      <c r="D91" s="17"/>
      <c r="E91" s="17"/>
      <c r="F91" s="17"/>
      <c r="G91" s="17"/>
      <c r="H91" s="17"/>
    </row>
    <row r="92" spans="1:8" ht="15.75" customHeight="1" x14ac:dyDescent="0.25">
      <c r="A92" s="17"/>
      <c r="B92" s="17"/>
      <c r="C92" s="17"/>
      <c r="D92" s="17"/>
      <c r="E92" s="17"/>
      <c r="F92" s="17"/>
      <c r="G92" s="17"/>
      <c r="H92" s="17"/>
    </row>
    <row r="93" spans="1:8" ht="15.75" customHeight="1" x14ac:dyDescent="0.25">
      <c r="A93" s="17"/>
      <c r="B93" s="17"/>
      <c r="C93" s="17"/>
      <c r="D93" s="17"/>
      <c r="E93" s="17"/>
      <c r="F93" s="17"/>
      <c r="G93" s="17"/>
      <c r="H93" s="17"/>
    </row>
    <row r="94" spans="1:8" ht="15.75" customHeight="1" x14ac:dyDescent="0.25">
      <c r="A94" s="17"/>
      <c r="B94" s="17"/>
      <c r="C94" s="17"/>
      <c r="D94" s="17"/>
      <c r="E94" s="17"/>
      <c r="F94" s="17"/>
      <c r="G94" s="17"/>
      <c r="H94" s="17"/>
    </row>
    <row r="95" spans="1:8" ht="15.75" customHeight="1" x14ac:dyDescent="0.25">
      <c r="A95" s="17"/>
      <c r="B95" s="17"/>
      <c r="C95" s="17"/>
      <c r="D95" s="17"/>
      <c r="E95" s="17"/>
      <c r="F95" s="17"/>
      <c r="G95" s="17"/>
      <c r="H95" s="17"/>
    </row>
    <row r="96" spans="1:8" ht="15.75" customHeight="1" x14ac:dyDescent="0.25">
      <c r="A96" s="17"/>
      <c r="B96" s="17"/>
      <c r="C96" s="17"/>
      <c r="D96" s="17"/>
      <c r="E96" s="17"/>
      <c r="F96" s="17"/>
      <c r="G96" s="17"/>
      <c r="H96" s="17"/>
    </row>
    <row r="97" spans="1:8" ht="15.75" customHeight="1" x14ac:dyDescent="0.25">
      <c r="A97" s="17"/>
      <c r="B97" s="17"/>
      <c r="C97" s="17"/>
      <c r="D97" s="17"/>
      <c r="E97" s="17"/>
      <c r="F97" s="17"/>
      <c r="G97" s="17"/>
      <c r="H97" s="17"/>
    </row>
    <row r="98" spans="1:8" ht="15.75" customHeight="1" x14ac:dyDescent="0.25">
      <c r="A98" s="17"/>
      <c r="B98" s="17"/>
      <c r="C98" s="17"/>
      <c r="D98" s="17"/>
      <c r="E98" s="17"/>
      <c r="F98" s="17"/>
      <c r="G98" s="17"/>
      <c r="H98" s="17"/>
    </row>
    <row r="99" spans="1:8" ht="15.75" customHeight="1" x14ac:dyDescent="0.25">
      <c r="A99" s="17"/>
      <c r="B99" s="17"/>
      <c r="C99" s="17"/>
      <c r="D99" s="17"/>
      <c r="E99" s="17"/>
      <c r="F99" s="17"/>
      <c r="G99" s="17"/>
      <c r="H99" s="17"/>
    </row>
    <row r="100" spans="1:8" ht="15.75" customHeight="1" x14ac:dyDescent="0.25">
      <c r="A100" s="17"/>
      <c r="B100" s="17"/>
      <c r="C100" s="17"/>
      <c r="D100" s="17"/>
      <c r="E100" s="17"/>
      <c r="F100" s="17"/>
      <c r="G100" s="17"/>
      <c r="H100" s="17"/>
    </row>
  </sheetData>
  <mergeCells count="19">
    <mergeCell ref="A1:H1"/>
    <mergeCell ref="A2:B2"/>
    <mergeCell ref="C2:D2"/>
    <mergeCell ref="E2:F2"/>
    <mergeCell ref="G2:H2"/>
    <mergeCell ref="A5:H5"/>
    <mergeCell ref="A32:D32"/>
    <mergeCell ref="A33:D33"/>
    <mergeCell ref="A34:D34"/>
    <mergeCell ref="C3:D3"/>
    <mergeCell ref="A17:D17"/>
    <mergeCell ref="A18:D18"/>
    <mergeCell ref="A19:D19"/>
    <mergeCell ref="A21:H21"/>
    <mergeCell ref="A29:D29"/>
    <mergeCell ref="A31:H31"/>
    <mergeCell ref="E3:F3"/>
    <mergeCell ref="G3:H3"/>
    <mergeCell ref="A3:B3"/>
  </mergeCells>
  <pageMargins left="0.75" right="0.75" top="1" bottom="1" header="0" footer="0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2E86AB"/>
  </sheetPr>
  <dimension ref="A1:H100"/>
  <sheetViews>
    <sheetView workbookViewId="0">
      <selection sqref="A1:H1"/>
    </sheetView>
  </sheetViews>
  <sheetFormatPr defaultColWidth="14.42578125" defaultRowHeight="15" customHeight="1" x14ac:dyDescent="0.25"/>
  <cols>
    <col min="1" max="1" width="10" customWidth="1"/>
    <col min="2" max="2" width="26" customWidth="1"/>
    <col min="3" max="7" width="16" customWidth="1"/>
    <col min="8" max="8" width="20" customWidth="1"/>
  </cols>
  <sheetData>
    <row r="1" spans="1:8" ht="27.75" customHeight="1" x14ac:dyDescent="0.25">
      <c r="A1" s="163" t="s">
        <v>236</v>
      </c>
      <c r="B1" s="146"/>
      <c r="C1" s="146"/>
      <c r="D1" s="146"/>
      <c r="E1" s="146"/>
      <c r="F1" s="146"/>
      <c r="G1" s="146"/>
      <c r="H1" s="147"/>
    </row>
    <row r="2" spans="1:8" ht="18" customHeight="1" x14ac:dyDescent="0.25">
      <c r="A2" s="164" t="s">
        <v>34</v>
      </c>
      <c r="B2" s="147"/>
      <c r="C2" s="164" t="s">
        <v>35</v>
      </c>
      <c r="D2" s="147"/>
      <c r="E2" s="164" t="s">
        <v>36</v>
      </c>
      <c r="F2" s="147"/>
      <c r="G2" s="164" t="s">
        <v>37</v>
      </c>
      <c r="H2" s="147"/>
    </row>
    <row r="3" spans="1:8" ht="21.75" customHeight="1" x14ac:dyDescent="0.25">
      <c r="A3" s="162">
        <f>E29</f>
        <v>4275</v>
      </c>
      <c r="B3" s="147"/>
      <c r="C3" s="154">
        <f>E19</f>
        <v>3080</v>
      </c>
      <c r="D3" s="147"/>
      <c r="E3" s="160">
        <f>E29-E19</f>
        <v>1195</v>
      </c>
      <c r="F3" s="147"/>
      <c r="G3" s="161">
        <f>IF(E29&gt;0,(E29-E19)/E29,0)</f>
        <v>0.27953216374269008</v>
      </c>
      <c r="H3" s="147"/>
    </row>
    <row r="4" spans="1:8" ht="14.25" customHeight="1" x14ac:dyDescent="0.25">
      <c r="A4" s="17"/>
      <c r="B4" s="17"/>
      <c r="C4" s="17"/>
      <c r="D4" s="17"/>
      <c r="E4" s="17"/>
      <c r="F4" s="17"/>
      <c r="G4" s="17"/>
      <c r="H4" s="17"/>
    </row>
    <row r="5" spans="1:8" ht="19.5" customHeight="1" x14ac:dyDescent="0.25">
      <c r="A5" s="150" t="s">
        <v>237</v>
      </c>
      <c r="B5" s="146"/>
      <c r="C5" s="146"/>
      <c r="D5" s="146"/>
      <c r="E5" s="146"/>
      <c r="F5" s="146"/>
      <c r="G5" s="146"/>
      <c r="H5" s="147"/>
    </row>
    <row r="6" spans="1:8" ht="15" customHeight="1" x14ac:dyDescent="0.25">
      <c r="A6" s="36" t="s">
        <v>22</v>
      </c>
      <c r="B6" s="36" t="s">
        <v>39</v>
      </c>
      <c r="C6" s="36" t="s">
        <v>40</v>
      </c>
      <c r="D6" s="36" t="s">
        <v>41</v>
      </c>
      <c r="E6" s="36" t="s">
        <v>42</v>
      </c>
      <c r="F6" s="36" t="s">
        <v>43</v>
      </c>
      <c r="G6" s="36" t="s">
        <v>44</v>
      </c>
      <c r="H6" s="36"/>
    </row>
    <row r="7" spans="1:8" ht="15" customHeight="1" x14ac:dyDescent="0.25">
      <c r="A7" s="37" t="s">
        <v>238</v>
      </c>
      <c r="B7" s="38" t="s">
        <v>46</v>
      </c>
      <c r="C7" s="37" t="s">
        <v>167</v>
      </c>
      <c r="D7" s="37" t="s">
        <v>48</v>
      </c>
      <c r="E7" s="39">
        <v>86</v>
      </c>
      <c r="F7" s="37"/>
      <c r="G7" s="37"/>
      <c r="H7" s="37"/>
    </row>
    <row r="8" spans="1:8" ht="15" customHeight="1" x14ac:dyDescent="0.25">
      <c r="A8" s="40" t="s">
        <v>238</v>
      </c>
      <c r="B8" s="41" t="s">
        <v>49</v>
      </c>
      <c r="C8" s="40"/>
      <c r="D8" s="40" t="s">
        <v>50</v>
      </c>
      <c r="E8" s="42">
        <v>216</v>
      </c>
      <c r="F8" s="40"/>
      <c r="G8" s="40"/>
      <c r="H8" s="40"/>
    </row>
    <row r="9" spans="1:8" ht="15" customHeight="1" x14ac:dyDescent="0.25">
      <c r="A9" s="37" t="s">
        <v>238</v>
      </c>
      <c r="B9" s="38" t="s">
        <v>51</v>
      </c>
      <c r="C9" s="37"/>
      <c r="D9" s="37" t="s">
        <v>50</v>
      </c>
      <c r="E9" s="39">
        <v>230</v>
      </c>
      <c r="F9" s="37"/>
      <c r="G9" s="37"/>
      <c r="H9" s="37"/>
    </row>
    <row r="10" spans="1:8" ht="15" customHeight="1" x14ac:dyDescent="0.25">
      <c r="A10" s="40" t="s">
        <v>238</v>
      </c>
      <c r="B10" s="41" t="s">
        <v>52</v>
      </c>
      <c r="C10" s="40"/>
      <c r="D10" s="40" t="s">
        <v>50</v>
      </c>
      <c r="E10" s="42">
        <v>95</v>
      </c>
      <c r="F10" s="40"/>
      <c r="G10" s="40"/>
      <c r="H10" s="40"/>
    </row>
    <row r="11" spans="1:8" ht="15" customHeight="1" x14ac:dyDescent="0.25">
      <c r="A11" s="37" t="s">
        <v>238</v>
      </c>
      <c r="B11" s="38" t="s">
        <v>53</v>
      </c>
      <c r="C11" s="37"/>
      <c r="D11" s="37" t="s">
        <v>50</v>
      </c>
      <c r="E11" s="39">
        <v>120</v>
      </c>
      <c r="F11" s="37"/>
      <c r="G11" s="37"/>
      <c r="H11" s="37"/>
    </row>
    <row r="12" spans="1:8" ht="15" customHeight="1" x14ac:dyDescent="0.25">
      <c r="A12" s="40" t="s">
        <v>238</v>
      </c>
      <c r="B12" s="41" t="s">
        <v>54</v>
      </c>
      <c r="C12" s="40"/>
      <c r="D12" s="40" t="s">
        <v>50</v>
      </c>
      <c r="E12" s="42">
        <v>288</v>
      </c>
      <c r="F12" s="40"/>
      <c r="G12" s="40"/>
      <c r="H12" s="40"/>
    </row>
    <row r="13" spans="1:8" ht="15" customHeight="1" x14ac:dyDescent="0.25">
      <c r="A13" s="37" t="s">
        <v>238</v>
      </c>
      <c r="B13" s="38" t="s">
        <v>55</v>
      </c>
      <c r="C13" s="37"/>
      <c r="D13" s="37" t="s">
        <v>50</v>
      </c>
      <c r="E13" s="39">
        <v>135</v>
      </c>
      <c r="F13" s="37"/>
      <c r="G13" s="37"/>
      <c r="H13" s="37"/>
    </row>
    <row r="14" spans="1:8" ht="15" customHeight="1" x14ac:dyDescent="0.25">
      <c r="A14" s="40" t="s">
        <v>238</v>
      </c>
      <c r="B14" s="40" t="s">
        <v>126</v>
      </c>
      <c r="C14" s="31"/>
      <c r="D14" s="40" t="s">
        <v>50</v>
      </c>
      <c r="E14" s="107">
        <f>'💳 Empréstimo'!F32</f>
        <v>560</v>
      </c>
      <c r="F14" s="31"/>
      <c r="G14" s="40" t="s">
        <v>239</v>
      </c>
      <c r="H14" s="31"/>
    </row>
    <row r="15" spans="1:8" ht="15" customHeight="1" x14ac:dyDescent="0.25">
      <c r="A15" s="31"/>
      <c r="B15" s="31"/>
      <c r="C15" s="31"/>
      <c r="D15" s="31"/>
      <c r="E15" s="29"/>
      <c r="F15" s="31"/>
      <c r="G15" s="31"/>
      <c r="H15" s="31"/>
    </row>
    <row r="16" spans="1:8" ht="15" customHeight="1" x14ac:dyDescent="0.25">
      <c r="A16" s="31"/>
      <c r="B16" s="31"/>
      <c r="C16" s="31"/>
      <c r="D16" s="31"/>
      <c r="E16" s="29"/>
      <c r="F16" s="31"/>
      <c r="G16" s="31"/>
      <c r="H16" s="31"/>
    </row>
    <row r="17" spans="1:8" ht="15" customHeight="1" x14ac:dyDescent="0.25">
      <c r="A17" s="155" t="s">
        <v>56</v>
      </c>
      <c r="B17" s="152"/>
      <c r="C17" s="152"/>
      <c r="D17" s="153"/>
      <c r="E17" s="43">
        <f>SUM(E7:E16)</f>
        <v>1730</v>
      </c>
      <c r="F17" s="44"/>
      <c r="G17" s="44"/>
      <c r="H17" s="44"/>
    </row>
    <row r="18" spans="1:8" ht="15" customHeight="1" x14ac:dyDescent="0.25">
      <c r="A18" s="156" t="s">
        <v>57</v>
      </c>
      <c r="B18" s="152"/>
      <c r="C18" s="152"/>
      <c r="D18" s="153"/>
      <c r="E18" s="45">
        <v>1350</v>
      </c>
      <c r="F18" s="44"/>
      <c r="G18" s="44"/>
      <c r="H18" s="44"/>
    </row>
    <row r="19" spans="1:8" ht="15" customHeight="1" x14ac:dyDescent="0.25">
      <c r="A19" s="157" t="s">
        <v>58</v>
      </c>
      <c r="B19" s="152"/>
      <c r="C19" s="152"/>
      <c r="D19" s="153"/>
      <c r="E19" s="46">
        <f>E17+E18</f>
        <v>3080</v>
      </c>
      <c r="F19" s="47"/>
      <c r="G19" s="47"/>
      <c r="H19" s="47"/>
    </row>
    <row r="20" spans="1:8" ht="14.25" customHeight="1" x14ac:dyDescent="0.25">
      <c r="A20" s="17"/>
      <c r="B20" s="17"/>
      <c r="C20" s="17"/>
      <c r="D20" s="17"/>
      <c r="E20" s="17"/>
      <c r="F20" s="17"/>
      <c r="G20" s="17"/>
      <c r="H20" s="17"/>
    </row>
    <row r="21" spans="1:8" ht="19.5" customHeight="1" x14ac:dyDescent="0.25">
      <c r="A21" s="158" t="s">
        <v>240</v>
      </c>
      <c r="B21" s="146"/>
      <c r="C21" s="146"/>
      <c r="D21" s="146"/>
      <c r="E21" s="146"/>
      <c r="F21" s="146"/>
      <c r="G21" s="146"/>
      <c r="H21" s="147"/>
    </row>
    <row r="22" spans="1:8" ht="15" customHeight="1" x14ac:dyDescent="0.25">
      <c r="A22" s="48" t="s">
        <v>22</v>
      </c>
      <c r="B22" s="48" t="s">
        <v>39</v>
      </c>
      <c r="C22" s="48" t="s">
        <v>40</v>
      </c>
      <c r="D22" s="48" t="s">
        <v>41</v>
      </c>
      <c r="E22" s="48" t="s">
        <v>42</v>
      </c>
      <c r="F22" s="48" t="s">
        <v>60</v>
      </c>
      <c r="G22" s="48" t="s">
        <v>44</v>
      </c>
      <c r="H22" s="48"/>
    </row>
    <row r="23" spans="1:8" ht="15" customHeight="1" x14ac:dyDescent="0.25">
      <c r="A23" s="49" t="s">
        <v>238</v>
      </c>
      <c r="B23" s="50" t="s">
        <v>61</v>
      </c>
      <c r="C23" s="49" t="s">
        <v>62</v>
      </c>
      <c r="D23" s="49" t="s">
        <v>50</v>
      </c>
      <c r="E23" s="51">
        <v>1475</v>
      </c>
      <c r="F23" s="49"/>
      <c r="G23" s="49"/>
      <c r="H23" s="49"/>
    </row>
    <row r="24" spans="1:8" ht="15" customHeight="1" x14ac:dyDescent="0.25">
      <c r="A24" s="52" t="s">
        <v>238</v>
      </c>
      <c r="B24" s="53" t="s">
        <v>63</v>
      </c>
      <c r="C24" s="52" t="s">
        <v>62</v>
      </c>
      <c r="D24" s="52" t="s">
        <v>50</v>
      </c>
      <c r="E24" s="54">
        <v>1300</v>
      </c>
      <c r="F24" s="52"/>
      <c r="G24" s="52"/>
      <c r="H24" s="52"/>
    </row>
    <row r="25" spans="1:8" ht="15" customHeight="1" x14ac:dyDescent="0.25">
      <c r="A25" s="49" t="s">
        <v>238</v>
      </c>
      <c r="B25" s="50" t="s">
        <v>64</v>
      </c>
      <c r="C25" s="49" t="s">
        <v>62</v>
      </c>
      <c r="D25" s="49" t="s">
        <v>50</v>
      </c>
      <c r="E25" s="51">
        <v>1500</v>
      </c>
      <c r="F25" s="49"/>
      <c r="G25" s="49"/>
      <c r="H25" s="49"/>
    </row>
    <row r="26" spans="1:8" ht="15" customHeight="1" x14ac:dyDescent="0.25">
      <c r="A26" s="52"/>
      <c r="B26" s="53"/>
      <c r="C26" s="52"/>
      <c r="D26" s="52"/>
      <c r="E26" s="54"/>
      <c r="F26" s="52"/>
      <c r="G26" s="52"/>
      <c r="H26" s="52"/>
    </row>
    <row r="27" spans="1:8" ht="15" customHeight="1" x14ac:dyDescent="0.25">
      <c r="A27" s="55"/>
      <c r="B27" s="55"/>
      <c r="C27" s="55"/>
      <c r="D27" s="55"/>
      <c r="E27" s="56"/>
      <c r="F27" s="55"/>
      <c r="G27" s="55"/>
      <c r="H27" s="55"/>
    </row>
    <row r="28" spans="1:8" ht="15" customHeight="1" x14ac:dyDescent="0.25">
      <c r="A28" s="55"/>
      <c r="B28" s="55"/>
      <c r="C28" s="55"/>
      <c r="D28" s="55"/>
      <c r="E28" s="56"/>
      <c r="F28" s="55"/>
      <c r="G28" s="55"/>
      <c r="H28" s="55"/>
    </row>
    <row r="29" spans="1:8" ht="15" customHeight="1" x14ac:dyDescent="0.25">
      <c r="A29" s="157" t="s">
        <v>66</v>
      </c>
      <c r="B29" s="152"/>
      <c r="C29" s="152"/>
      <c r="D29" s="153"/>
      <c r="E29" s="46">
        <f>SUM(E23:E28)</f>
        <v>4275</v>
      </c>
      <c r="F29" s="47"/>
      <c r="G29" s="47"/>
      <c r="H29" s="47"/>
    </row>
    <row r="30" spans="1:8" ht="15.75" customHeight="1" x14ac:dyDescent="0.25">
      <c r="A30" s="17"/>
      <c r="B30" s="17"/>
      <c r="C30" s="17"/>
      <c r="D30" s="17"/>
      <c r="E30" s="17"/>
      <c r="F30" s="17"/>
      <c r="G30" s="17"/>
      <c r="H30" s="17"/>
    </row>
    <row r="31" spans="1:8" ht="19.5" customHeight="1" x14ac:dyDescent="0.25">
      <c r="A31" s="159" t="s">
        <v>67</v>
      </c>
      <c r="B31" s="146"/>
      <c r="C31" s="146"/>
      <c r="D31" s="146"/>
      <c r="E31" s="146"/>
      <c r="F31" s="146"/>
      <c r="G31" s="146"/>
      <c r="H31" s="147"/>
    </row>
    <row r="32" spans="1:8" ht="15" customHeight="1" x14ac:dyDescent="0.25">
      <c r="A32" s="151" t="s">
        <v>68</v>
      </c>
      <c r="B32" s="152"/>
      <c r="C32" s="152"/>
      <c r="D32" s="153"/>
      <c r="E32" s="57">
        <f>E29-E19</f>
        <v>1195</v>
      </c>
      <c r="F32" s="58"/>
      <c r="G32" s="58"/>
      <c r="H32" s="58"/>
    </row>
    <row r="33" spans="1:8" ht="15" customHeight="1" x14ac:dyDescent="0.25">
      <c r="A33" s="151" t="s">
        <v>76</v>
      </c>
      <c r="B33" s="152"/>
      <c r="C33" s="152"/>
      <c r="D33" s="153"/>
      <c r="E33" s="57">
        <f>0.7*(E29-E19)</f>
        <v>836.5</v>
      </c>
      <c r="F33" s="58"/>
      <c r="G33" s="58"/>
      <c r="H33" s="58"/>
    </row>
    <row r="34" spans="1:8" ht="15" customHeight="1" x14ac:dyDescent="0.25">
      <c r="A34" s="151" t="s">
        <v>70</v>
      </c>
      <c r="B34" s="152"/>
      <c r="C34" s="152"/>
      <c r="D34" s="153"/>
      <c r="E34" s="57">
        <f>E19/6</f>
        <v>513.33333333333337</v>
      </c>
      <c r="F34" s="58"/>
      <c r="G34" s="58"/>
      <c r="H34" s="58"/>
    </row>
    <row r="35" spans="1:8" ht="15.75" customHeight="1" x14ac:dyDescent="0.25">
      <c r="A35" s="17"/>
      <c r="B35" s="17"/>
      <c r="C35" s="17"/>
      <c r="D35" s="17"/>
      <c r="E35" s="17"/>
      <c r="F35" s="17"/>
      <c r="G35" s="17"/>
      <c r="H35" s="17"/>
    </row>
    <row r="36" spans="1:8" ht="15.75" customHeight="1" x14ac:dyDescent="0.25">
      <c r="A36" s="17"/>
      <c r="B36" s="17"/>
      <c r="C36" s="17"/>
      <c r="D36" s="17"/>
      <c r="E36" s="17"/>
      <c r="F36" s="17"/>
      <c r="G36" s="17"/>
      <c r="H36" s="17"/>
    </row>
    <row r="37" spans="1:8" ht="15.75" customHeight="1" x14ac:dyDescent="0.25">
      <c r="A37" s="17"/>
      <c r="B37" s="17"/>
      <c r="C37" s="17"/>
      <c r="D37" s="17"/>
      <c r="E37" s="17"/>
      <c r="F37" s="17"/>
      <c r="G37" s="17"/>
      <c r="H37" s="17"/>
    </row>
    <row r="38" spans="1:8" ht="15.75" customHeight="1" x14ac:dyDescent="0.25">
      <c r="A38" s="17"/>
      <c r="B38" s="17"/>
      <c r="C38" s="17"/>
      <c r="D38" s="17"/>
      <c r="E38" s="17"/>
      <c r="F38" s="17"/>
      <c r="G38" s="17"/>
      <c r="H38" s="17"/>
    </row>
    <row r="39" spans="1:8" ht="15.75" customHeight="1" x14ac:dyDescent="0.25">
      <c r="A39" s="17"/>
      <c r="B39" s="17"/>
      <c r="C39" s="17"/>
      <c r="D39" s="17"/>
      <c r="E39" s="17"/>
      <c r="F39" s="17"/>
      <c r="G39" s="17"/>
      <c r="H39" s="17"/>
    </row>
    <row r="40" spans="1:8" ht="15.75" customHeight="1" x14ac:dyDescent="0.25">
      <c r="A40" s="17"/>
      <c r="B40" s="17"/>
      <c r="C40" s="17"/>
      <c r="D40" s="17"/>
      <c r="E40" s="17"/>
      <c r="F40" s="17"/>
      <c r="G40" s="17"/>
      <c r="H40" s="17"/>
    </row>
    <row r="41" spans="1:8" ht="15.75" customHeight="1" x14ac:dyDescent="0.25">
      <c r="A41" s="17"/>
      <c r="B41" s="17"/>
      <c r="C41" s="17"/>
      <c r="D41" s="17"/>
      <c r="E41" s="17"/>
      <c r="F41" s="17"/>
      <c r="G41" s="17"/>
      <c r="H41" s="17"/>
    </row>
    <row r="42" spans="1:8" ht="15.75" customHeight="1" x14ac:dyDescent="0.25">
      <c r="A42" s="17"/>
      <c r="B42" s="17"/>
      <c r="C42" s="17"/>
      <c r="D42" s="17"/>
      <c r="E42" s="17"/>
      <c r="F42" s="17"/>
      <c r="G42" s="17"/>
      <c r="H42" s="17"/>
    </row>
    <row r="43" spans="1:8" ht="15.75" customHeight="1" x14ac:dyDescent="0.25">
      <c r="A43" s="17"/>
      <c r="B43" s="17"/>
      <c r="C43" s="17"/>
      <c r="D43" s="17"/>
      <c r="E43" s="17"/>
      <c r="F43" s="17"/>
      <c r="G43" s="17"/>
      <c r="H43" s="17"/>
    </row>
    <row r="44" spans="1:8" ht="15.75" customHeight="1" x14ac:dyDescent="0.25">
      <c r="A44" s="17"/>
      <c r="B44" s="17"/>
      <c r="C44" s="17"/>
      <c r="D44" s="17"/>
      <c r="E44" s="17"/>
      <c r="F44" s="17"/>
      <c r="G44" s="17"/>
      <c r="H44" s="17"/>
    </row>
    <row r="45" spans="1:8" ht="15.75" customHeight="1" x14ac:dyDescent="0.25">
      <c r="A45" s="17"/>
      <c r="B45" s="17"/>
      <c r="C45" s="17"/>
      <c r="D45" s="17"/>
      <c r="E45" s="17"/>
      <c r="F45" s="17"/>
      <c r="G45" s="17"/>
      <c r="H45" s="17"/>
    </row>
    <row r="46" spans="1:8" ht="15.75" customHeight="1" x14ac:dyDescent="0.25">
      <c r="A46" s="17"/>
      <c r="B46" s="17"/>
      <c r="C46" s="17"/>
      <c r="D46" s="17"/>
      <c r="E46" s="17"/>
      <c r="F46" s="17"/>
      <c r="G46" s="17"/>
      <c r="H46" s="17"/>
    </row>
    <row r="47" spans="1:8" ht="15.75" customHeight="1" x14ac:dyDescent="0.25">
      <c r="A47" s="17"/>
      <c r="B47" s="17"/>
      <c r="C47" s="17"/>
      <c r="D47" s="17"/>
      <c r="E47" s="17"/>
      <c r="F47" s="17"/>
      <c r="G47" s="17"/>
      <c r="H47" s="17"/>
    </row>
    <row r="48" spans="1:8" ht="15.75" customHeight="1" x14ac:dyDescent="0.25">
      <c r="A48" s="17"/>
      <c r="B48" s="17"/>
      <c r="C48" s="17"/>
      <c r="D48" s="17"/>
      <c r="E48" s="17"/>
      <c r="F48" s="17"/>
      <c r="G48" s="17"/>
      <c r="H48" s="17"/>
    </row>
    <row r="49" spans="1:8" ht="15.75" customHeight="1" x14ac:dyDescent="0.25">
      <c r="A49" s="17"/>
      <c r="B49" s="17"/>
      <c r="C49" s="17"/>
      <c r="D49" s="17"/>
      <c r="E49" s="17"/>
      <c r="F49" s="17"/>
      <c r="G49" s="17"/>
      <c r="H49" s="17"/>
    </row>
    <row r="50" spans="1:8" ht="15.75" customHeight="1" x14ac:dyDescent="0.25">
      <c r="A50" s="17"/>
      <c r="B50" s="17"/>
      <c r="C50" s="17"/>
      <c r="D50" s="17"/>
      <c r="E50" s="17"/>
      <c r="F50" s="17"/>
      <c r="G50" s="17"/>
      <c r="H50" s="17"/>
    </row>
    <row r="51" spans="1:8" ht="15.75" customHeight="1" x14ac:dyDescent="0.25">
      <c r="A51" s="17"/>
      <c r="B51" s="17"/>
      <c r="C51" s="17"/>
      <c r="D51" s="17"/>
      <c r="E51" s="17"/>
      <c r="F51" s="17"/>
      <c r="G51" s="17"/>
      <c r="H51" s="17"/>
    </row>
    <row r="52" spans="1:8" ht="15.75" customHeight="1" x14ac:dyDescent="0.25">
      <c r="A52" s="17"/>
      <c r="B52" s="17"/>
      <c r="C52" s="17"/>
      <c r="D52" s="17"/>
      <c r="E52" s="17"/>
      <c r="F52" s="17"/>
      <c r="G52" s="17"/>
      <c r="H52" s="17"/>
    </row>
    <row r="53" spans="1:8" ht="15.75" customHeight="1" x14ac:dyDescent="0.25">
      <c r="A53" s="17"/>
      <c r="B53" s="17"/>
      <c r="C53" s="17"/>
      <c r="D53" s="17"/>
      <c r="E53" s="17"/>
      <c r="F53" s="17"/>
      <c r="G53" s="17"/>
      <c r="H53" s="17"/>
    </row>
    <row r="54" spans="1:8" ht="15.75" customHeight="1" x14ac:dyDescent="0.25">
      <c r="A54" s="17"/>
      <c r="B54" s="17"/>
      <c r="C54" s="17"/>
      <c r="D54" s="17"/>
      <c r="E54" s="17"/>
      <c r="F54" s="17"/>
      <c r="G54" s="17"/>
      <c r="H54" s="17"/>
    </row>
    <row r="55" spans="1:8" ht="15.75" customHeight="1" x14ac:dyDescent="0.25">
      <c r="A55" s="17"/>
      <c r="B55" s="17"/>
      <c r="C55" s="17"/>
      <c r="D55" s="17"/>
      <c r="E55" s="17"/>
      <c r="F55" s="17"/>
      <c r="G55" s="17"/>
      <c r="H55" s="17"/>
    </row>
    <row r="56" spans="1:8" ht="15.75" customHeight="1" x14ac:dyDescent="0.25">
      <c r="A56" s="17"/>
      <c r="B56" s="17"/>
      <c r="C56" s="17"/>
      <c r="D56" s="17"/>
      <c r="E56" s="17"/>
      <c r="F56" s="17"/>
      <c r="G56" s="17"/>
      <c r="H56" s="17"/>
    </row>
    <row r="57" spans="1:8" ht="15.75" customHeight="1" x14ac:dyDescent="0.25">
      <c r="A57" s="17"/>
      <c r="B57" s="17"/>
      <c r="C57" s="17"/>
      <c r="D57" s="17"/>
      <c r="E57" s="17"/>
      <c r="F57" s="17"/>
      <c r="G57" s="17"/>
      <c r="H57" s="17"/>
    </row>
    <row r="58" spans="1:8" ht="15.75" customHeight="1" x14ac:dyDescent="0.25">
      <c r="A58" s="17"/>
      <c r="B58" s="17"/>
      <c r="C58" s="17"/>
      <c r="D58" s="17"/>
      <c r="E58" s="17"/>
      <c r="F58" s="17"/>
      <c r="G58" s="17"/>
      <c r="H58" s="17"/>
    </row>
    <row r="59" spans="1:8" ht="15.75" customHeight="1" x14ac:dyDescent="0.25">
      <c r="A59" s="17"/>
      <c r="B59" s="17"/>
      <c r="C59" s="17"/>
      <c r="D59" s="17"/>
      <c r="E59" s="17"/>
      <c r="F59" s="17"/>
      <c r="G59" s="17"/>
      <c r="H59" s="17"/>
    </row>
    <row r="60" spans="1:8" ht="15.75" customHeight="1" x14ac:dyDescent="0.25">
      <c r="A60" s="17"/>
      <c r="B60" s="17"/>
      <c r="C60" s="17"/>
      <c r="D60" s="17"/>
      <c r="E60" s="17"/>
      <c r="F60" s="17"/>
      <c r="G60" s="17"/>
      <c r="H60" s="17"/>
    </row>
    <row r="61" spans="1:8" ht="15.75" customHeight="1" x14ac:dyDescent="0.25">
      <c r="A61" s="17"/>
      <c r="B61" s="17"/>
      <c r="C61" s="17"/>
      <c r="D61" s="17"/>
      <c r="E61" s="17"/>
      <c r="F61" s="17"/>
      <c r="G61" s="17"/>
      <c r="H61" s="17"/>
    </row>
    <row r="62" spans="1:8" ht="15.75" customHeight="1" x14ac:dyDescent="0.25">
      <c r="A62" s="17"/>
      <c r="B62" s="17"/>
      <c r="C62" s="17"/>
      <c r="D62" s="17"/>
      <c r="E62" s="17"/>
      <c r="F62" s="17"/>
      <c r="G62" s="17"/>
      <c r="H62" s="17"/>
    </row>
    <row r="63" spans="1:8" ht="15.75" customHeight="1" x14ac:dyDescent="0.25">
      <c r="A63" s="17"/>
      <c r="B63" s="17"/>
      <c r="C63" s="17"/>
      <c r="D63" s="17"/>
      <c r="E63" s="17"/>
      <c r="F63" s="17"/>
      <c r="G63" s="17"/>
      <c r="H63" s="17"/>
    </row>
    <row r="64" spans="1:8" ht="15.75" customHeight="1" x14ac:dyDescent="0.25">
      <c r="A64" s="17"/>
      <c r="B64" s="17"/>
      <c r="C64" s="17"/>
      <c r="D64" s="17"/>
      <c r="E64" s="17"/>
      <c r="F64" s="17"/>
      <c r="G64" s="17"/>
      <c r="H64" s="17"/>
    </row>
    <row r="65" spans="1:8" ht="15.75" customHeight="1" x14ac:dyDescent="0.25">
      <c r="A65" s="17"/>
      <c r="B65" s="17"/>
      <c r="C65" s="17"/>
      <c r="D65" s="17"/>
      <c r="E65" s="17"/>
      <c r="F65" s="17"/>
      <c r="G65" s="17"/>
      <c r="H65" s="17"/>
    </row>
    <row r="66" spans="1:8" ht="15.75" customHeight="1" x14ac:dyDescent="0.25">
      <c r="A66" s="17"/>
      <c r="B66" s="17"/>
      <c r="C66" s="17"/>
      <c r="D66" s="17"/>
      <c r="E66" s="17"/>
      <c r="F66" s="17"/>
      <c r="G66" s="17"/>
      <c r="H66" s="17"/>
    </row>
    <row r="67" spans="1:8" ht="15.75" customHeight="1" x14ac:dyDescent="0.25">
      <c r="A67" s="17"/>
      <c r="B67" s="17"/>
      <c r="C67" s="17"/>
      <c r="D67" s="17"/>
      <c r="E67" s="17"/>
      <c r="F67" s="17"/>
      <c r="G67" s="17"/>
      <c r="H67" s="17"/>
    </row>
    <row r="68" spans="1:8" ht="15.75" customHeight="1" x14ac:dyDescent="0.25">
      <c r="A68" s="17"/>
      <c r="B68" s="17"/>
      <c r="C68" s="17"/>
      <c r="D68" s="17"/>
      <c r="E68" s="17"/>
      <c r="F68" s="17"/>
      <c r="G68" s="17"/>
      <c r="H68" s="17"/>
    </row>
    <row r="69" spans="1:8" ht="15.75" customHeight="1" x14ac:dyDescent="0.25">
      <c r="A69" s="17"/>
      <c r="B69" s="17"/>
      <c r="C69" s="17"/>
      <c r="D69" s="17"/>
      <c r="E69" s="17"/>
      <c r="F69" s="17"/>
      <c r="G69" s="17"/>
      <c r="H69" s="17"/>
    </row>
    <row r="70" spans="1:8" ht="15.75" customHeight="1" x14ac:dyDescent="0.25">
      <c r="A70" s="17"/>
      <c r="B70" s="17"/>
      <c r="C70" s="17"/>
      <c r="D70" s="17"/>
      <c r="E70" s="17"/>
      <c r="F70" s="17"/>
      <c r="G70" s="17"/>
      <c r="H70" s="17"/>
    </row>
    <row r="71" spans="1:8" ht="15.75" customHeight="1" x14ac:dyDescent="0.25">
      <c r="A71" s="17"/>
      <c r="B71" s="17"/>
      <c r="C71" s="17"/>
      <c r="D71" s="17"/>
      <c r="E71" s="17"/>
      <c r="F71" s="17"/>
      <c r="G71" s="17"/>
      <c r="H71" s="17"/>
    </row>
    <row r="72" spans="1:8" ht="15.75" customHeight="1" x14ac:dyDescent="0.25">
      <c r="A72" s="17"/>
      <c r="B72" s="17"/>
      <c r="C72" s="17"/>
      <c r="D72" s="17"/>
      <c r="E72" s="17"/>
      <c r="F72" s="17"/>
      <c r="G72" s="17"/>
      <c r="H72" s="17"/>
    </row>
    <row r="73" spans="1:8" ht="15.75" customHeight="1" x14ac:dyDescent="0.25">
      <c r="A73" s="17"/>
      <c r="B73" s="17"/>
      <c r="C73" s="17"/>
      <c r="D73" s="17"/>
      <c r="E73" s="17"/>
      <c r="F73" s="17"/>
      <c r="G73" s="17"/>
      <c r="H73" s="17"/>
    </row>
    <row r="74" spans="1:8" ht="15.75" customHeight="1" x14ac:dyDescent="0.25">
      <c r="A74" s="17"/>
      <c r="B74" s="17"/>
      <c r="C74" s="17"/>
      <c r="D74" s="17"/>
      <c r="E74" s="17"/>
      <c r="F74" s="17"/>
      <c r="G74" s="17"/>
      <c r="H74" s="17"/>
    </row>
    <row r="75" spans="1:8" ht="15.75" customHeight="1" x14ac:dyDescent="0.25">
      <c r="A75" s="17"/>
      <c r="B75" s="17"/>
      <c r="C75" s="17"/>
      <c r="D75" s="17"/>
      <c r="E75" s="17"/>
      <c r="F75" s="17"/>
      <c r="G75" s="17"/>
      <c r="H75" s="17"/>
    </row>
    <row r="76" spans="1:8" ht="15.75" customHeight="1" x14ac:dyDescent="0.25">
      <c r="A76" s="17"/>
      <c r="B76" s="17"/>
      <c r="C76" s="17"/>
      <c r="D76" s="17"/>
      <c r="E76" s="17"/>
      <c r="F76" s="17"/>
      <c r="G76" s="17"/>
      <c r="H76" s="17"/>
    </row>
    <row r="77" spans="1:8" ht="15.75" customHeight="1" x14ac:dyDescent="0.25">
      <c r="A77" s="17"/>
      <c r="B77" s="17"/>
      <c r="C77" s="17"/>
      <c r="D77" s="17"/>
      <c r="E77" s="17"/>
      <c r="F77" s="17"/>
      <c r="G77" s="17"/>
      <c r="H77" s="17"/>
    </row>
    <row r="78" spans="1:8" ht="15.75" customHeight="1" x14ac:dyDescent="0.25">
      <c r="A78" s="17"/>
      <c r="B78" s="17"/>
      <c r="C78" s="17"/>
      <c r="D78" s="17"/>
      <c r="E78" s="17"/>
      <c r="F78" s="17"/>
      <c r="G78" s="17"/>
      <c r="H78" s="17"/>
    </row>
    <row r="79" spans="1:8" ht="15.75" customHeight="1" x14ac:dyDescent="0.25">
      <c r="A79" s="17"/>
      <c r="B79" s="17"/>
      <c r="C79" s="17"/>
      <c r="D79" s="17"/>
      <c r="E79" s="17"/>
      <c r="F79" s="17"/>
      <c r="G79" s="17"/>
      <c r="H79" s="17"/>
    </row>
    <row r="80" spans="1:8" ht="15.75" customHeight="1" x14ac:dyDescent="0.25">
      <c r="A80" s="17"/>
      <c r="B80" s="17"/>
      <c r="C80" s="17"/>
      <c r="D80" s="17"/>
      <c r="E80" s="17"/>
      <c r="F80" s="17"/>
      <c r="G80" s="17"/>
      <c r="H80" s="17"/>
    </row>
    <row r="81" spans="1:8" ht="15.75" customHeight="1" x14ac:dyDescent="0.25">
      <c r="A81" s="17"/>
      <c r="B81" s="17"/>
      <c r="C81" s="17"/>
      <c r="D81" s="17"/>
      <c r="E81" s="17"/>
      <c r="F81" s="17"/>
      <c r="G81" s="17"/>
      <c r="H81" s="17"/>
    </row>
    <row r="82" spans="1:8" ht="15.75" customHeight="1" x14ac:dyDescent="0.25">
      <c r="A82" s="17"/>
      <c r="B82" s="17"/>
      <c r="C82" s="17"/>
      <c r="D82" s="17"/>
      <c r="E82" s="17"/>
      <c r="F82" s="17"/>
      <c r="G82" s="17"/>
      <c r="H82" s="17"/>
    </row>
    <row r="83" spans="1:8" ht="15.75" customHeight="1" x14ac:dyDescent="0.25">
      <c r="A83" s="17"/>
      <c r="B83" s="17"/>
      <c r="C83" s="17"/>
      <c r="D83" s="17"/>
      <c r="E83" s="17"/>
      <c r="F83" s="17"/>
      <c r="G83" s="17"/>
      <c r="H83" s="17"/>
    </row>
    <row r="84" spans="1:8" ht="15.75" customHeight="1" x14ac:dyDescent="0.25">
      <c r="A84" s="17"/>
      <c r="B84" s="17"/>
      <c r="C84" s="17"/>
      <c r="D84" s="17"/>
      <c r="E84" s="17"/>
      <c r="F84" s="17"/>
      <c r="G84" s="17"/>
      <c r="H84" s="17"/>
    </row>
    <row r="85" spans="1:8" ht="15.75" customHeight="1" x14ac:dyDescent="0.25">
      <c r="A85" s="17"/>
      <c r="B85" s="17"/>
      <c r="C85" s="17"/>
      <c r="D85" s="17"/>
      <c r="E85" s="17"/>
      <c r="F85" s="17"/>
      <c r="G85" s="17"/>
      <c r="H85" s="17"/>
    </row>
    <row r="86" spans="1:8" ht="15.75" customHeight="1" x14ac:dyDescent="0.25">
      <c r="A86" s="17"/>
      <c r="B86" s="17"/>
      <c r="C86" s="17"/>
      <c r="D86" s="17"/>
      <c r="E86" s="17"/>
      <c r="F86" s="17"/>
      <c r="G86" s="17"/>
      <c r="H86" s="17"/>
    </row>
    <row r="87" spans="1:8" ht="15.75" customHeight="1" x14ac:dyDescent="0.25">
      <c r="A87" s="17"/>
      <c r="B87" s="17"/>
      <c r="C87" s="17"/>
      <c r="D87" s="17"/>
      <c r="E87" s="17"/>
      <c r="F87" s="17"/>
      <c r="G87" s="17"/>
      <c r="H87" s="17"/>
    </row>
    <row r="88" spans="1:8" ht="15.75" customHeight="1" x14ac:dyDescent="0.25">
      <c r="A88" s="17"/>
      <c r="B88" s="17"/>
      <c r="C88" s="17"/>
      <c r="D88" s="17"/>
      <c r="E88" s="17"/>
      <c r="F88" s="17"/>
      <c r="G88" s="17"/>
      <c r="H88" s="17"/>
    </row>
    <row r="89" spans="1:8" ht="15.75" customHeight="1" x14ac:dyDescent="0.25">
      <c r="A89" s="17"/>
      <c r="B89" s="17"/>
      <c r="C89" s="17"/>
      <c r="D89" s="17"/>
      <c r="E89" s="17"/>
      <c r="F89" s="17"/>
      <c r="G89" s="17"/>
      <c r="H89" s="17"/>
    </row>
    <row r="90" spans="1:8" ht="15.75" customHeight="1" x14ac:dyDescent="0.25">
      <c r="A90" s="17"/>
      <c r="B90" s="17"/>
      <c r="C90" s="17"/>
      <c r="D90" s="17"/>
      <c r="E90" s="17"/>
      <c r="F90" s="17"/>
      <c r="G90" s="17"/>
      <c r="H90" s="17"/>
    </row>
    <row r="91" spans="1:8" ht="15.75" customHeight="1" x14ac:dyDescent="0.25">
      <c r="A91" s="17"/>
      <c r="B91" s="17"/>
      <c r="C91" s="17"/>
      <c r="D91" s="17"/>
      <c r="E91" s="17"/>
      <c r="F91" s="17"/>
      <c r="G91" s="17"/>
      <c r="H91" s="17"/>
    </row>
    <row r="92" spans="1:8" ht="15.75" customHeight="1" x14ac:dyDescent="0.25">
      <c r="A92" s="17"/>
      <c r="B92" s="17"/>
      <c r="C92" s="17"/>
      <c r="D92" s="17"/>
      <c r="E92" s="17"/>
      <c r="F92" s="17"/>
      <c r="G92" s="17"/>
      <c r="H92" s="17"/>
    </row>
    <row r="93" spans="1:8" ht="15.75" customHeight="1" x14ac:dyDescent="0.25">
      <c r="A93" s="17"/>
      <c r="B93" s="17"/>
      <c r="C93" s="17"/>
      <c r="D93" s="17"/>
      <c r="E93" s="17"/>
      <c r="F93" s="17"/>
      <c r="G93" s="17"/>
      <c r="H93" s="17"/>
    </row>
    <row r="94" spans="1:8" ht="15.75" customHeight="1" x14ac:dyDescent="0.25">
      <c r="A94" s="17"/>
      <c r="B94" s="17"/>
      <c r="C94" s="17"/>
      <c r="D94" s="17"/>
      <c r="E94" s="17"/>
      <c r="F94" s="17"/>
      <c r="G94" s="17"/>
      <c r="H94" s="17"/>
    </row>
    <row r="95" spans="1:8" ht="15.75" customHeight="1" x14ac:dyDescent="0.25">
      <c r="A95" s="17"/>
      <c r="B95" s="17"/>
      <c r="C95" s="17"/>
      <c r="D95" s="17"/>
      <c r="E95" s="17"/>
      <c r="F95" s="17"/>
      <c r="G95" s="17"/>
      <c r="H95" s="17"/>
    </row>
    <row r="96" spans="1:8" ht="15.75" customHeight="1" x14ac:dyDescent="0.25">
      <c r="A96" s="17"/>
      <c r="B96" s="17"/>
      <c r="C96" s="17"/>
      <c r="D96" s="17"/>
      <c r="E96" s="17"/>
      <c r="F96" s="17"/>
      <c r="G96" s="17"/>
      <c r="H96" s="17"/>
    </row>
    <row r="97" spans="1:8" ht="15.75" customHeight="1" x14ac:dyDescent="0.25">
      <c r="A97" s="17"/>
      <c r="B97" s="17"/>
      <c r="C97" s="17"/>
      <c r="D97" s="17"/>
      <c r="E97" s="17"/>
      <c r="F97" s="17"/>
      <c r="G97" s="17"/>
      <c r="H97" s="17"/>
    </row>
    <row r="98" spans="1:8" ht="15.75" customHeight="1" x14ac:dyDescent="0.25">
      <c r="A98" s="17"/>
      <c r="B98" s="17"/>
      <c r="C98" s="17"/>
      <c r="D98" s="17"/>
      <c r="E98" s="17"/>
      <c r="F98" s="17"/>
      <c r="G98" s="17"/>
      <c r="H98" s="17"/>
    </row>
    <row r="99" spans="1:8" ht="15.75" customHeight="1" x14ac:dyDescent="0.25">
      <c r="A99" s="17"/>
      <c r="B99" s="17"/>
      <c r="C99" s="17"/>
      <c r="D99" s="17"/>
      <c r="E99" s="17"/>
      <c r="F99" s="17"/>
      <c r="G99" s="17"/>
      <c r="H99" s="17"/>
    </row>
    <row r="100" spans="1:8" ht="15.75" customHeight="1" x14ac:dyDescent="0.25">
      <c r="A100" s="17"/>
      <c r="B100" s="17"/>
      <c r="C100" s="17"/>
      <c r="D100" s="17"/>
      <c r="E100" s="17"/>
      <c r="F100" s="17"/>
      <c r="G100" s="17"/>
      <c r="H100" s="17"/>
    </row>
  </sheetData>
  <mergeCells count="19">
    <mergeCell ref="A1:H1"/>
    <mergeCell ref="A2:B2"/>
    <mergeCell ref="C2:D2"/>
    <mergeCell ref="E2:F2"/>
    <mergeCell ref="G2:H2"/>
    <mergeCell ref="A5:H5"/>
    <mergeCell ref="A32:D32"/>
    <mergeCell ref="A33:D33"/>
    <mergeCell ref="A34:D34"/>
    <mergeCell ref="C3:D3"/>
    <mergeCell ref="A17:D17"/>
    <mergeCell ref="A18:D18"/>
    <mergeCell ref="A19:D19"/>
    <mergeCell ref="A21:H21"/>
    <mergeCell ref="A29:D29"/>
    <mergeCell ref="A31:H31"/>
    <mergeCell ref="E3:F3"/>
    <mergeCell ref="G3:H3"/>
    <mergeCell ref="A3:B3"/>
  </mergeCells>
  <pageMargins left="0.75" right="0.75" top="1" bottom="1" header="0" footer="0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2E86AB"/>
  </sheetPr>
  <dimension ref="A1:H100"/>
  <sheetViews>
    <sheetView workbookViewId="0">
      <selection sqref="A1:H1"/>
    </sheetView>
  </sheetViews>
  <sheetFormatPr defaultColWidth="14.42578125" defaultRowHeight="15" customHeight="1" x14ac:dyDescent="0.25"/>
  <cols>
    <col min="1" max="1" width="10" customWidth="1"/>
    <col min="2" max="2" width="26" customWidth="1"/>
    <col min="3" max="7" width="16" customWidth="1"/>
    <col min="8" max="8" width="20" customWidth="1"/>
  </cols>
  <sheetData>
    <row r="1" spans="1:8" ht="27.75" customHeight="1" x14ac:dyDescent="0.25">
      <c r="A1" s="163" t="s">
        <v>241</v>
      </c>
      <c r="B1" s="146"/>
      <c r="C1" s="146"/>
      <c r="D1" s="146"/>
      <c r="E1" s="146"/>
      <c r="F1" s="146"/>
      <c r="G1" s="146"/>
      <c r="H1" s="147"/>
    </row>
    <row r="2" spans="1:8" ht="18" customHeight="1" x14ac:dyDescent="0.25">
      <c r="A2" s="164" t="s">
        <v>34</v>
      </c>
      <c r="B2" s="147"/>
      <c r="C2" s="164" t="s">
        <v>35</v>
      </c>
      <c r="D2" s="147"/>
      <c r="E2" s="164" t="s">
        <v>36</v>
      </c>
      <c r="F2" s="147"/>
      <c r="G2" s="164" t="s">
        <v>37</v>
      </c>
      <c r="H2" s="147"/>
    </row>
    <row r="3" spans="1:8" ht="21.75" customHeight="1" x14ac:dyDescent="0.25">
      <c r="A3" s="162">
        <f>E29</f>
        <v>4275</v>
      </c>
      <c r="B3" s="147"/>
      <c r="C3" s="154">
        <f>E19</f>
        <v>3080</v>
      </c>
      <c r="D3" s="147"/>
      <c r="E3" s="160">
        <f>E29-E19</f>
        <v>1195</v>
      </c>
      <c r="F3" s="147"/>
      <c r="G3" s="161">
        <f>IF(E29&gt;0,(E29-E19)/E29,0)</f>
        <v>0.27953216374269008</v>
      </c>
      <c r="H3" s="147"/>
    </row>
    <row r="4" spans="1:8" ht="14.25" customHeight="1" x14ac:dyDescent="0.25">
      <c r="A4" s="17"/>
      <c r="B4" s="17"/>
      <c r="C4" s="17"/>
      <c r="D4" s="17"/>
      <c r="E4" s="17"/>
      <c r="F4" s="17"/>
      <c r="G4" s="17"/>
      <c r="H4" s="17"/>
    </row>
    <row r="5" spans="1:8" ht="19.5" customHeight="1" x14ac:dyDescent="0.25">
      <c r="A5" s="150" t="s">
        <v>242</v>
      </c>
      <c r="B5" s="146"/>
      <c r="C5" s="146"/>
      <c r="D5" s="146"/>
      <c r="E5" s="146"/>
      <c r="F5" s="146"/>
      <c r="G5" s="146"/>
      <c r="H5" s="147"/>
    </row>
    <row r="6" spans="1:8" ht="15" customHeight="1" x14ac:dyDescent="0.25">
      <c r="A6" s="36" t="s">
        <v>22</v>
      </c>
      <c r="B6" s="36" t="s">
        <v>39</v>
      </c>
      <c r="C6" s="36" t="s">
        <v>40</v>
      </c>
      <c r="D6" s="36" t="s">
        <v>41</v>
      </c>
      <c r="E6" s="36" t="s">
        <v>42</v>
      </c>
      <c r="F6" s="36" t="s">
        <v>43</v>
      </c>
      <c r="G6" s="36" t="s">
        <v>44</v>
      </c>
      <c r="H6" s="36"/>
    </row>
    <row r="7" spans="1:8" ht="15" customHeight="1" x14ac:dyDescent="0.25">
      <c r="A7" s="37" t="s">
        <v>243</v>
      </c>
      <c r="B7" s="38" t="s">
        <v>46</v>
      </c>
      <c r="C7" s="37" t="s">
        <v>167</v>
      </c>
      <c r="D7" s="37" t="s">
        <v>48</v>
      </c>
      <c r="E7" s="39">
        <v>86</v>
      </c>
      <c r="F7" s="37"/>
      <c r="G7" s="37"/>
      <c r="H7" s="37"/>
    </row>
    <row r="8" spans="1:8" ht="15" customHeight="1" x14ac:dyDescent="0.25">
      <c r="A8" s="40" t="s">
        <v>243</v>
      </c>
      <c r="B8" s="41" t="s">
        <v>49</v>
      </c>
      <c r="C8" s="40"/>
      <c r="D8" s="40" t="s">
        <v>50</v>
      </c>
      <c r="E8" s="42">
        <v>216</v>
      </c>
      <c r="F8" s="40"/>
      <c r="G8" s="40"/>
      <c r="H8" s="40"/>
    </row>
    <row r="9" spans="1:8" ht="15" customHeight="1" x14ac:dyDescent="0.25">
      <c r="A9" s="37" t="s">
        <v>243</v>
      </c>
      <c r="B9" s="38" t="s">
        <v>51</v>
      </c>
      <c r="C9" s="37"/>
      <c r="D9" s="37" t="s">
        <v>50</v>
      </c>
      <c r="E9" s="39">
        <v>230</v>
      </c>
      <c r="F9" s="37"/>
      <c r="G9" s="37"/>
      <c r="H9" s="37"/>
    </row>
    <row r="10" spans="1:8" ht="15" customHeight="1" x14ac:dyDescent="0.25">
      <c r="A10" s="40" t="s">
        <v>243</v>
      </c>
      <c r="B10" s="41" t="s">
        <v>52</v>
      </c>
      <c r="C10" s="40"/>
      <c r="D10" s="40" t="s">
        <v>50</v>
      </c>
      <c r="E10" s="42">
        <v>95</v>
      </c>
      <c r="F10" s="40"/>
      <c r="G10" s="40"/>
      <c r="H10" s="40"/>
    </row>
    <row r="11" spans="1:8" ht="15" customHeight="1" x14ac:dyDescent="0.25">
      <c r="A11" s="37" t="s">
        <v>243</v>
      </c>
      <c r="B11" s="38" t="s">
        <v>53</v>
      </c>
      <c r="C11" s="37"/>
      <c r="D11" s="37" t="s">
        <v>50</v>
      </c>
      <c r="E11" s="39">
        <v>120</v>
      </c>
      <c r="F11" s="37"/>
      <c r="G11" s="37"/>
      <c r="H11" s="37"/>
    </row>
    <row r="12" spans="1:8" ht="15" customHeight="1" x14ac:dyDescent="0.25">
      <c r="A12" s="40" t="s">
        <v>243</v>
      </c>
      <c r="B12" s="41" t="s">
        <v>54</v>
      </c>
      <c r="C12" s="40"/>
      <c r="D12" s="40" t="s">
        <v>50</v>
      </c>
      <c r="E12" s="42">
        <v>288</v>
      </c>
      <c r="F12" s="40"/>
      <c r="G12" s="40"/>
      <c r="H12" s="40"/>
    </row>
    <row r="13" spans="1:8" ht="15" customHeight="1" x14ac:dyDescent="0.25">
      <c r="A13" s="37" t="s">
        <v>243</v>
      </c>
      <c r="B13" s="38" t="s">
        <v>55</v>
      </c>
      <c r="C13" s="37"/>
      <c r="D13" s="37" t="s">
        <v>50</v>
      </c>
      <c r="E13" s="39">
        <v>135</v>
      </c>
      <c r="F13" s="37"/>
      <c r="G13" s="37"/>
      <c r="H13" s="37"/>
    </row>
    <row r="14" spans="1:8" ht="15" customHeight="1" x14ac:dyDescent="0.25">
      <c r="A14" s="40" t="s">
        <v>243</v>
      </c>
      <c r="B14" s="40" t="s">
        <v>126</v>
      </c>
      <c r="C14" s="31"/>
      <c r="D14" s="40" t="s">
        <v>50</v>
      </c>
      <c r="E14" s="107">
        <f>'💳 Empréstimo'!F33</f>
        <v>560</v>
      </c>
      <c r="F14" s="31"/>
      <c r="G14" s="40" t="s">
        <v>244</v>
      </c>
      <c r="H14" s="31"/>
    </row>
    <row r="15" spans="1:8" ht="15" customHeight="1" x14ac:dyDescent="0.25">
      <c r="A15" s="31"/>
      <c r="B15" s="31"/>
      <c r="C15" s="31"/>
      <c r="D15" s="31"/>
      <c r="E15" s="29"/>
      <c r="F15" s="31"/>
      <c r="G15" s="31"/>
      <c r="H15" s="31"/>
    </row>
    <row r="16" spans="1:8" ht="15" customHeight="1" x14ac:dyDescent="0.25">
      <c r="A16" s="31"/>
      <c r="B16" s="31"/>
      <c r="C16" s="31"/>
      <c r="D16" s="31"/>
      <c r="E16" s="29"/>
      <c r="F16" s="31"/>
      <c r="G16" s="31"/>
      <c r="H16" s="31"/>
    </row>
    <row r="17" spans="1:8" ht="15" customHeight="1" x14ac:dyDescent="0.25">
      <c r="A17" s="155" t="s">
        <v>56</v>
      </c>
      <c r="B17" s="152"/>
      <c r="C17" s="152"/>
      <c r="D17" s="153"/>
      <c r="E17" s="43">
        <f>SUM(E7:E16)</f>
        <v>1730</v>
      </c>
      <c r="F17" s="44"/>
      <c r="G17" s="44"/>
      <c r="H17" s="44"/>
    </row>
    <row r="18" spans="1:8" ht="15" customHeight="1" x14ac:dyDescent="0.25">
      <c r="A18" s="156" t="s">
        <v>57</v>
      </c>
      <c r="B18" s="152"/>
      <c r="C18" s="152"/>
      <c r="D18" s="153"/>
      <c r="E18" s="45">
        <v>1350</v>
      </c>
      <c r="F18" s="44"/>
      <c r="G18" s="44"/>
      <c r="H18" s="44"/>
    </row>
    <row r="19" spans="1:8" ht="15" customHeight="1" x14ac:dyDescent="0.25">
      <c r="A19" s="157" t="s">
        <v>58</v>
      </c>
      <c r="B19" s="152"/>
      <c r="C19" s="152"/>
      <c r="D19" s="153"/>
      <c r="E19" s="46">
        <f>E17+E18</f>
        <v>3080</v>
      </c>
      <c r="F19" s="47"/>
      <c r="G19" s="47"/>
      <c r="H19" s="47"/>
    </row>
    <row r="20" spans="1:8" ht="14.25" customHeight="1" x14ac:dyDescent="0.25">
      <c r="A20" s="17"/>
      <c r="B20" s="17"/>
      <c r="C20" s="17"/>
      <c r="D20" s="17"/>
      <c r="E20" s="17"/>
      <c r="F20" s="17"/>
      <c r="G20" s="17"/>
      <c r="H20" s="17"/>
    </row>
    <row r="21" spans="1:8" ht="19.5" customHeight="1" x14ac:dyDescent="0.25">
      <c r="A21" s="158" t="s">
        <v>245</v>
      </c>
      <c r="B21" s="146"/>
      <c r="C21" s="146"/>
      <c r="D21" s="146"/>
      <c r="E21" s="146"/>
      <c r="F21" s="146"/>
      <c r="G21" s="146"/>
      <c r="H21" s="147"/>
    </row>
    <row r="22" spans="1:8" ht="15" customHeight="1" x14ac:dyDescent="0.25">
      <c r="A22" s="48" t="s">
        <v>22</v>
      </c>
      <c r="B22" s="48" t="s">
        <v>39</v>
      </c>
      <c r="C22" s="48" t="s">
        <v>40</v>
      </c>
      <c r="D22" s="48" t="s">
        <v>41</v>
      </c>
      <c r="E22" s="48" t="s">
        <v>42</v>
      </c>
      <c r="F22" s="48" t="s">
        <v>60</v>
      </c>
      <c r="G22" s="48" t="s">
        <v>44</v>
      </c>
      <c r="H22" s="48"/>
    </row>
    <row r="23" spans="1:8" ht="15" customHeight="1" x14ac:dyDescent="0.25">
      <c r="A23" s="49" t="s">
        <v>243</v>
      </c>
      <c r="B23" s="50" t="s">
        <v>61</v>
      </c>
      <c r="C23" s="49" t="s">
        <v>62</v>
      </c>
      <c r="D23" s="49" t="s">
        <v>50</v>
      </c>
      <c r="E23" s="51">
        <v>1475</v>
      </c>
      <c r="F23" s="49"/>
      <c r="G23" s="49"/>
      <c r="H23" s="49"/>
    </row>
    <row r="24" spans="1:8" ht="15" customHeight="1" x14ac:dyDescent="0.25">
      <c r="A24" s="52" t="s">
        <v>243</v>
      </c>
      <c r="B24" s="53" t="s">
        <v>63</v>
      </c>
      <c r="C24" s="52" t="s">
        <v>62</v>
      </c>
      <c r="D24" s="52" t="s">
        <v>50</v>
      </c>
      <c r="E24" s="54">
        <v>1300</v>
      </c>
      <c r="F24" s="52"/>
      <c r="G24" s="52"/>
      <c r="H24" s="52"/>
    </row>
    <row r="25" spans="1:8" ht="15" customHeight="1" x14ac:dyDescent="0.25">
      <c r="A25" s="49" t="s">
        <v>243</v>
      </c>
      <c r="B25" s="50" t="s">
        <v>64</v>
      </c>
      <c r="C25" s="49" t="s">
        <v>62</v>
      </c>
      <c r="D25" s="49" t="s">
        <v>50</v>
      </c>
      <c r="E25" s="51">
        <v>1500</v>
      </c>
      <c r="F25" s="49"/>
      <c r="G25" s="49"/>
      <c r="H25" s="49"/>
    </row>
    <row r="26" spans="1:8" ht="15" customHeight="1" x14ac:dyDescent="0.25">
      <c r="A26" s="52"/>
      <c r="B26" s="53"/>
      <c r="C26" s="52"/>
      <c r="D26" s="52"/>
      <c r="E26" s="54"/>
      <c r="F26" s="52"/>
      <c r="G26" s="52"/>
      <c r="H26" s="52"/>
    </row>
    <row r="27" spans="1:8" ht="15" customHeight="1" x14ac:dyDescent="0.25">
      <c r="A27" s="55"/>
      <c r="B27" s="55"/>
      <c r="C27" s="55"/>
      <c r="D27" s="55"/>
      <c r="E27" s="56"/>
      <c r="F27" s="55"/>
      <c r="G27" s="55"/>
      <c r="H27" s="55"/>
    </row>
    <row r="28" spans="1:8" ht="15" customHeight="1" x14ac:dyDescent="0.25">
      <c r="A28" s="55"/>
      <c r="B28" s="55"/>
      <c r="C28" s="55"/>
      <c r="D28" s="55"/>
      <c r="E28" s="56"/>
      <c r="F28" s="55"/>
      <c r="G28" s="55"/>
      <c r="H28" s="55"/>
    </row>
    <row r="29" spans="1:8" ht="15" customHeight="1" x14ac:dyDescent="0.25">
      <c r="A29" s="157" t="s">
        <v>66</v>
      </c>
      <c r="B29" s="152"/>
      <c r="C29" s="152"/>
      <c r="D29" s="153"/>
      <c r="E29" s="46">
        <f>SUM(E23:E28)</f>
        <v>4275</v>
      </c>
      <c r="F29" s="47"/>
      <c r="G29" s="47"/>
      <c r="H29" s="47"/>
    </row>
    <row r="30" spans="1:8" ht="15.75" customHeight="1" x14ac:dyDescent="0.25">
      <c r="A30" s="17"/>
      <c r="B30" s="17"/>
      <c r="C30" s="17"/>
      <c r="D30" s="17"/>
      <c r="E30" s="17"/>
      <c r="F30" s="17"/>
      <c r="G30" s="17"/>
      <c r="H30" s="17"/>
    </row>
    <row r="31" spans="1:8" ht="19.5" customHeight="1" x14ac:dyDescent="0.25">
      <c r="A31" s="159" t="s">
        <v>67</v>
      </c>
      <c r="B31" s="146"/>
      <c r="C31" s="146"/>
      <c r="D31" s="146"/>
      <c r="E31" s="146"/>
      <c r="F31" s="146"/>
      <c r="G31" s="146"/>
      <c r="H31" s="147"/>
    </row>
    <row r="32" spans="1:8" ht="15" customHeight="1" x14ac:dyDescent="0.25">
      <c r="A32" s="151" t="s">
        <v>68</v>
      </c>
      <c r="B32" s="152"/>
      <c r="C32" s="152"/>
      <c r="D32" s="153"/>
      <c r="E32" s="57">
        <f>E29-E19</f>
        <v>1195</v>
      </c>
      <c r="F32" s="58"/>
      <c r="G32" s="58"/>
      <c r="H32" s="58"/>
    </row>
    <row r="33" spans="1:8" ht="15" customHeight="1" x14ac:dyDescent="0.25">
      <c r="A33" s="151" t="s">
        <v>76</v>
      </c>
      <c r="B33" s="152"/>
      <c r="C33" s="152"/>
      <c r="D33" s="153"/>
      <c r="E33" s="57">
        <f>0.7*(E29-E19)</f>
        <v>836.5</v>
      </c>
      <c r="F33" s="58"/>
      <c r="G33" s="58"/>
      <c r="H33" s="58"/>
    </row>
    <row r="34" spans="1:8" ht="15" customHeight="1" x14ac:dyDescent="0.25">
      <c r="A34" s="151" t="s">
        <v>70</v>
      </c>
      <c r="B34" s="152"/>
      <c r="C34" s="152"/>
      <c r="D34" s="153"/>
      <c r="E34" s="57">
        <f>E19/6</f>
        <v>513.33333333333337</v>
      </c>
      <c r="F34" s="58"/>
      <c r="G34" s="58"/>
      <c r="H34" s="58"/>
    </row>
    <row r="35" spans="1:8" ht="15.75" customHeight="1" x14ac:dyDescent="0.25">
      <c r="A35" s="17"/>
      <c r="B35" s="17"/>
      <c r="C35" s="17"/>
      <c r="D35" s="17"/>
      <c r="E35" s="17"/>
      <c r="F35" s="17"/>
      <c r="G35" s="17"/>
      <c r="H35" s="17"/>
    </row>
    <row r="36" spans="1:8" ht="15.75" customHeight="1" x14ac:dyDescent="0.25">
      <c r="A36" s="17"/>
      <c r="B36" s="17"/>
      <c r="C36" s="17"/>
      <c r="D36" s="17"/>
      <c r="E36" s="17"/>
      <c r="F36" s="17"/>
      <c r="G36" s="17"/>
      <c r="H36" s="17"/>
    </row>
    <row r="37" spans="1:8" ht="15.75" customHeight="1" x14ac:dyDescent="0.25">
      <c r="A37" s="17"/>
      <c r="B37" s="17"/>
      <c r="C37" s="17"/>
      <c r="D37" s="17"/>
      <c r="E37" s="17"/>
      <c r="F37" s="17"/>
      <c r="G37" s="17"/>
      <c r="H37" s="17"/>
    </row>
    <row r="38" spans="1:8" ht="15.75" customHeight="1" x14ac:dyDescent="0.25">
      <c r="A38" s="17"/>
      <c r="B38" s="17"/>
      <c r="C38" s="17"/>
      <c r="D38" s="17"/>
      <c r="E38" s="17"/>
      <c r="F38" s="17"/>
      <c r="G38" s="17"/>
      <c r="H38" s="17"/>
    </row>
    <row r="39" spans="1:8" ht="15.75" customHeight="1" x14ac:dyDescent="0.25">
      <c r="A39" s="17"/>
      <c r="B39" s="17"/>
      <c r="C39" s="17"/>
      <c r="D39" s="17"/>
      <c r="E39" s="17"/>
      <c r="F39" s="17"/>
      <c r="G39" s="17"/>
      <c r="H39" s="17"/>
    </row>
    <row r="40" spans="1:8" ht="15.75" customHeight="1" x14ac:dyDescent="0.25">
      <c r="A40" s="17"/>
      <c r="B40" s="17"/>
      <c r="C40" s="17"/>
      <c r="D40" s="17"/>
      <c r="E40" s="17"/>
      <c r="F40" s="17"/>
      <c r="G40" s="17"/>
      <c r="H40" s="17"/>
    </row>
    <row r="41" spans="1:8" ht="15.75" customHeight="1" x14ac:dyDescent="0.25">
      <c r="A41" s="17"/>
      <c r="B41" s="17"/>
      <c r="C41" s="17"/>
      <c r="D41" s="17"/>
      <c r="E41" s="17"/>
      <c r="F41" s="17"/>
      <c r="G41" s="17"/>
      <c r="H41" s="17"/>
    </row>
    <row r="42" spans="1:8" ht="15.75" customHeight="1" x14ac:dyDescent="0.25">
      <c r="A42" s="17"/>
      <c r="B42" s="17"/>
      <c r="C42" s="17"/>
      <c r="D42" s="17"/>
      <c r="E42" s="17"/>
      <c r="F42" s="17"/>
      <c r="G42" s="17"/>
      <c r="H42" s="17"/>
    </row>
    <row r="43" spans="1:8" ht="15.75" customHeight="1" x14ac:dyDescent="0.25">
      <c r="A43" s="17"/>
      <c r="B43" s="17"/>
      <c r="C43" s="17"/>
      <c r="D43" s="17"/>
      <c r="E43" s="17"/>
      <c r="F43" s="17"/>
      <c r="G43" s="17"/>
      <c r="H43" s="17"/>
    </row>
    <row r="44" spans="1:8" ht="15.75" customHeight="1" x14ac:dyDescent="0.25">
      <c r="A44" s="17"/>
      <c r="B44" s="17"/>
      <c r="C44" s="17"/>
      <c r="D44" s="17"/>
      <c r="E44" s="17"/>
      <c r="F44" s="17"/>
      <c r="G44" s="17"/>
      <c r="H44" s="17"/>
    </row>
    <row r="45" spans="1:8" ht="15.75" customHeight="1" x14ac:dyDescent="0.25">
      <c r="A45" s="17"/>
      <c r="B45" s="17"/>
      <c r="C45" s="17"/>
      <c r="D45" s="17"/>
      <c r="E45" s="17"/>
      <c r="F45" s="17"/>
      <c r="G45" s="17"/>
      <c r="H45" s="17"/>
    </row>
    <row r="46" spans="1:8" ht="15.75" customHeight="1" x14ac:dyDescent="0.25">
      <c r="A46" s="17"/>
      <c r="B46" s="17"/>
      <c r="C46" s="17"/>
      <c r="D46" s="17"/>
      <c r="E46" s="17"/>
      <c r="F46" s="17"/>
      <c r="G46" s="17"/>
      <c r="H46" s="17"/>
    </row>
    <row r="47" spans="1:8" ht="15.75" customHeight="1" x14ac:dyDescent="0.25">
      <c r="A47" s="17"/>
      <c r="B47" s="17"/>
      <c r="C47" s="17"/>
      <c r="D47" s="17"/>
      <c r="E47" s="17"/>
      <c r="F47" s="17"/>
      <c r="G47" s="17"/>
      <c r="H47" s="17"/>
    </row>
    <row r="48" spans="1:8" ht="15.75" customHeight="1" x14ac:dyDescent="0.25">
      <c r="A48" s="17"/>
      <c r="B48" s="17"/>
      <c r="C48" s="17"/>
      <c r="D48" s="17"/>
      <c r="E48" s="17"/>
      <c r="F48" s="17"/>
      <c r="G48" s="17"/>
      <c r="H48" s="17"/>
    </row>
    <row r="49" spans="1:8" ht="15.75" customHeight="1" x14ac:dyDescent="0.25">
      <c r="A49" s="17"/>
      <c r="B49" s="17"/>
      <c r="C49" s="17"/>
      <c r="D49" s="17"/>
      <c r="E49" s="17"/>
      <c r="F49" s="17"/>
      <c r="G49" s="17"/>
      <c r="H49" s="17"/>
    </row>
    <row r="50" spans="1:8" ht="15.75" customHeight="1" x14ac:dyDescent="0.25">
      <c r="A50" s="17"/>
      <c r="B50" s="17"/>
      <c r="C50" s="17"/>
      <c r="D50" s="17"/>
      <c r="E50" s="17"/>
      <c r="F50" s="17"/>
      <c r="G50" s="17"/>
      <c r="H50" s="17"/>
    </row>
    <row r="51" spans="1:8" ht="15.75" customHeight="1" x14ac:dyDescent="0.25">
      <c r="A51" s="17"/>
      <c r="B51" s="17"/>
      <c r="C51" s="17"/>
      <c r="D51" s="17"/>
      <c r="E51" s="17"/>
      <c r="F51" s="17"/>
      <c r="G51" s="17"/>
      <c r="H51" s="17"/>
    </row>
    <row r="52" spans="1:8" ht="15.75" customHeight="1" x14ac:dyDescent="0.25">
      <c r="A52" s="17"/>
      <c r="B52" s="17"/>
      <c r="C52" s="17"/>
      <c r="D52" s="17"/>
      <c r="E52" s="17"/>
      <c r="F52" s="17"/>
      <c r="G52" s="17"/>
      <c r="H52" s="17"/>
    </row>
    <row r="53" spans="1:8" ht="15.75" customHeight="1" x14ac:dyDescent="0.25">
      <c r="A53" s="17"/>
      <c r="B53" s="17"/>
      <c r="C53" s="17"/>
      <c r="D53" s="17"/>
      <c r="E53" s="17"/>
      <c r="F53" s="17"/>
      <c r="G53" s="17"/>
      <c r="H53" s="17"/>
    </row>
    <row r="54" spans="1:8" ht="15.75" customHeight="1" x14ac:dyDescent="0.25">
      <c r="A54" s="17"/>
      <c r="B54" s="17"/>
      <c r="C54" s="17"/>
      <c r="D54" s="17"/>
      <c r="E54" s="17"/>
      <c r="F54" s="17"/>
      <c r="G54" s="17"/>
      <c r="H54" s="17"/>
    </row>
    <row r="55" spans="1:8" ht="15.75" customHeight="1" x14ac:dyDescent="0.25">
      <c r="A55" s="17"/>
      <c r="B55" s="17"/>
      <c r="C55" s="17"/>
      <c r="D55" s="17"/>
      <c r="E55" s="17"/>
      <c r="F55" s="17"/>
      <c r="G55" s="17"/>
      <c r="H55" s="17"/>
    </row>
    <row r="56" spans="1:8" ht="15.75" customHeight="1" x14ac:dyDescent="0.25">
      <c r="A56" s="17"/>
      <c r="B56" s="17"/>
      <c r="C56" s="17"/>
      <c r="D56" s="17"/>
      <c r="E56" s="17"/>
      <c r="F56" s="17"/>
      <c r="G56" s="17"/>
      <c r="H56" s="17"/>
    </row>
    <row r="57" spans="1:8" ht="15.75" customHeight="1" x14ac:dyDescent="0.25">
      <c r="A57" s="17"/>
      <c r="B57" s="17"/>
      <c r="C57" s="17"/>
      <c r="D57" s="17"/>
      <c r="E57" s="17"/>
      <c r="F57" s="17"/>
      <c r="G57" s="17"/>
      <c r="H57" s="17"/>
    </row>
    <row r="58" spans="1:8" ht="15.75" customHeight="1" x14ac:dyDescent="0.25">
      <c r="A58" s="17"/>
      <c r="B58" s="17"/>
      <c r="C58" s="17"/>
      <c r="D58" s="17"/>
      <c r="E58" s="17"/>
      <c r="F58" s="17"/>
      <c r="G58" s="17"/>
      <c r="H58" s="17"/>
    </row>
    <row r="59" spans="1:8" ht="15.75" customHeight="1" x14ac:dyDescent="0.25">
      <c r="A59" s="17"/>
      <c r="B59" s="17"/>
      <c r="C59" s="17"/>
      <c r="D59" s="17"/>
      <c r="E59" s="17"/>
      <c r="F59" s="17"/>
      <c r="G59" s="17"/>
      <c r="H59" s="17"/>
    </row>
    <row r="60" spans="1:8" ht="15.75" customHeight="1" x14ac:dyDescent="0.25">
      <c r="A60" s="17"/>
      <c r="B60" s="17"/>
      <c r="C60" s="17"/>
      <c r="D60" s="17"/>
      <c r="E60" s="17"/>
      <c r="F60" s="17"/>
      <c r="G60" s="17"/>
      <c r="H60" s="17"/>
    </row>
    <row r="61" spans="1:8" ht="15.75" customHeight="1" x14ac:dyDescent="0.25">
      <c r="A61" s="17"/>
      <c r="B61" s="17"/>
      <c r="C61" s="17"/>
      <c r="D61" s="17"/>
      <c r="E61" s="17"/>
      <c r="F61" s="17"/>
      <c r="G61" s="17"/>
      <c r="H61" s="17"/>
    </row>
    <row r="62" spans="1:8" ht="15.75" customHeight="1" x14ac:dyDescent="0.25">
      <c r="A62" s="17"/>
      <c r="B62" s="17"/>
      <c r="C62" s="17"/>
      <c r="D62" s="17"/>
      <c r="E62" s="17"/>
      <c r="F62" s="17"/>
      <c r="G62" s="17"/>
      <c r="H62" s="17"/>
    </row>
    <row r="63" spans="1:8" ht="15.75" customHeight="1" x14ac:dyDescent="0.25">
      <c r="A63" s="17"/>
      <c r="B63" s="17"/>
      <c r="C63" s="17"/>
      <c r="D63" s="17"/>
      <c r="E63" s="17"/>
      <c r="F63" s="17"/>
      <c r="G63" s="17"/>
      <c r="H63" s="17"/>
    </row>
    <row r="64" spans="1:8" ht="15.75" customHeight="1" x14ac:dyDescent="0.25">
      <c r="A64" s="17"/>
      <c r="B64" s="17"/>
      <c r="C64" s="17"/>
      <c r="D64" s="17"/>
      <c r="E64" s="17"/>
      <c r="F64" s="17"/>
      <c r="G64" s="17"/>
      <c r="H64" s="17"/>
    </row>
    <row r="65" spans="1:8" ht="15.75" customHeight="1" x14ac:dyDescent="0.25">
      <c r="A65" s="17"/>
      <c r="B65" s="17"/>
      <c r="C65" s="17"/>
      <c r="D65" s="17"/>
      <c r="E65" s="17"/>
      <c r="F65" s="17"/>
      <c r="G65" s="17"/>
      <c r="H65" s="17"/>
    </row>
    <row r="66" spans="1:8" ht="15.75" customHeight="1" x14ac:dyDescent="0.25">
      <c r="A66" s="17"/>
      <c r="B66" s="17"/>
      <c r="C66" s="17"/>
      <c r="D66" s="17"/>
      <c r="E66" s="17"/>
      <c r="F66" s="17"/>
      <c r="G66" s="17"/>
      <c r="H66" s="17"/>
    </row>
    <row r="67" spans="1:8" ht="15.75" customHeight="1" x14ac:dyDescent="0.25">
      <c r="A67" s="17"/>
      <c r="B67" s="17"/>
      <c r="C67" s="17"/>
      <c r="D67" s="17"/>
      <c r="E67" s="17"/>
      <c r="F67" s="17"/>
      <c r="G67" s="17"/>
      <c r="H67" s="17"/>
    </row>
    <row r="68" spans="1:8" ht="15.75" customHeight="1" x14ac:dyDescent="0.25">
      <c r="A68" s="17"/>
      <c r="B68" s="17"/>
      <c r="C68" s="17"/>
      <c r="D68" s="17"/>
      <c r="E68" s="17"/>
      <c r="F68" s="17"/>
      <c r="G68" s="17"/>
      <c r="H68" s="17"/>
    </row>
    <row r="69" spans="1:8" ht="15.75" customHeight="1" x14ac:dyDescent="0.25">
      <c r="A69" s="17"/>
      <c r="B69" s="17"/>
      <c r="C69" s="17"/>
      <c r="D69" s="17"/>
      <c r="E69" s="17"/>
      <c r="F69" s="17"/>
      <c r="G69" s="17"/>
      <c r="H69" s="17"/>
    </row>
    <row r="70" spans="1:8" ht="15.75" customHeight="1" x14ac:dyDescent="0.25">
      <c r="A70" s="17"/>
      <c r="B70" s="17"/>
      <c r="C70" s="17"/>
      <c r="D70" s="17"/>
      <c r="E70" s="17"/>
      <c r="F70" s="17"/>
      <c r="G70" s="17"/>
      <c r="H70" s="17"/>
    </row>
    <row r="71" spans="1:8" ht="15.75" customHeight="1" x14ac:dyDescent="0.25">
      <c r="A71" s="17"/>
      <c r="B71" s="17"/>
      <c r="C71" s="17"/>
      <c r="D71" s="17"/>
      <c r="E71" s="17"/>
      <c r="F71" s="17"/>
      <c r="G71" s="17"/>
      <c r="H71" s="17"/>
    </row>
    <row r="72" spans="1:8" ht="15.75" customHeight="1" x14ac:dyDescent="0.25">
      <c r="A72" s="17"/>
      <c r="B72" s="17"/>
      <c r="C72" s="17"/>
      <c r="D72" s="17"/>
      <c r="E72" s="17"/>
      <c r="F72" s="17"/>
      <c r="G72" s="17"/>
      <c r="H72" s="17"/>
    </row>
    <row r="73" spans="1:8" ht="15.75" customHeight="1" x14ac:dyDescent="0.25">
      <c r="A73" s="17"/>
      <c r="B73" s="17"/>
      <c r="C73" s="17"/>
      <c r="D73" s="17"/>
      <c r="E73" s="17"/>
      <c r="F73" s="17"/>
      <c r="G73" s="17"/>
      <c r="H73" s="17"/>
    </row>
    <row r="74" spans="1:8" ht="15.75" customHeight="1" x14ac:dyDescent="0.25">
      <c r="A74" s="17"/>
      <c r="B74" s="17"/>
      <c r="C74" s="17"/>
      <c r="D74" s="17"/>
      <c r="E74" s="17"/>
      <c r="F74" s="17"/>
      <c r="G74" s="17"/>
      <c r="H74" s="17"/>
    </row>
    <row r="75" spans="1:8" ht="15.75" customHeight="1" x14ac:dyDescent="0.25">
      <c r="A75" s="17"/>
      <c r="B75" s="17"/>
      <c r="C75" s="17"/>
      <c r="D75" s="17"/>
      <c r="E75" s="17"/>
      <c r="F75" s="17"/>
      <c r="G75" s="17"/>
      <c r="H75" s="17"/>
    </row>
    <row r="76" spans="1:8" ht="15.75" customHeight="1" x14ac:dyDescent="0.25">
      <c r="A76" s="17"/>
      <c r="B76" s="17"/>
      <c r="C76" s="17"/>
      <c r="D76" s="17"/>
      <c r="E76" s="17"/>
      <c r="F76" s="17"/>
      <c r="G76" s="17"/>
      <c r="H76" s="17"/>
    </row>
    <row r="77" spans="1:8" ht="15.75" customHeight="1" x14ac:dyDescent="0.25">
      <c r="A77" s="17"/>
      <c r="B77" s="17"/>
      <c r="C77" s="17"/>
      <c r="D77" s="17"/>
      <c r="E77" s="17"/>
      <c r="F77" s="17"/>
      <c r="G77" s="17"/>
      <c r="H77" s="17"/>
    </row>
    <row r="78" spans="1:8" ht="15.75" customHeight="1" x14ac:dyDescent="0.25">
      <c r="A78" s="17"/>
      <c r="B78" s="17"/>
      <c r="C78" s="17"/>
      <c r="D78" s="17"/>
      <c r="E78" s="17"/>
      <c r="F78" s="17"/>
      <c r="G78" s="17"/>
      <c r="H78" s="17"/>
    </row>
    <row r="79" spans="1:8" ht="15.75" customHeight="1" x14ac:dyDescent="0.25">
      <c r="A79" s="17"/>
      <c r="B79" s="17"/>
      <c r="C79" s="17"/>
      <c r="D79" s="17"/>
      <c r="E79" s="17"/>
      <c r="F79" s="17"/>
      <c r="G79" s="17"/>
      <c r="H79" s="17"/>
    </row>
    <row r="80" spans="1:8" ht="15.75" customHeight="1" x14ac:dyDescent="0.25">
      <c r="A80" s="17"/>
      <c r="B80" s="17"/>
      <c r="C80" s="17"/>
      <c r="D80" s="17"/>
      <c r="E80" s="17"/>
      <c r="F80" s="17"/>
      <c r="G80" s="17"/>
      <c r="H80" s="17"/>
    </row>
    <row r="81" spans="1:8" ht="15.75" customHeight="1" x14ac:dyDescent="0.25">
      <c r="A81" s="17"/>
      <c r="B81" s="17"/>
      <c r="C81" s="17"/>
      <c r="D81" s="17"/>
      <c r="E81" s="17"/>
      <c r="F81" s="17"/>
      <c r="G81" s="17"/>
      <c r="H81" s="17"/>
    </row>
    <row r="82" spans="1:8" ht="15.75" customHeight="1" x14ac:dyDescent="0.25">
      <c r="A82" s="17"/>
      <c r="B82" s="17"/>
      <c r="C82" s="17"/>
      <c r="D82" s="17"/>
      <c r="E82" s="17"/>
      <c r="F82" s="17"/>
      <c r="G82" s="17"/>
      <c r="H82" s="17"/>
    </row>
    <row r="83" spans="1:8" ht="15.75" customHeight="1" x14ac:dyDescent="0.25">
      <c r="A83" s="17"/>
      <c r="B83" s="17"/>
      <c r="C83" s="17"/>
      <c r="D83" s="17"/>
      <c r="E83" s="17"/>
      <c r="F83" s="17"/>
      <c r="G83" s="17"/>
      <c r="H83" s="17"/>
    </row>
    <row r="84" spans="1:8" ht="15.75" customHeight="1" x14ac:dyDescent="0.25">
      <c r="A84" s="17"/>
      <c r="B84" s="17"/>
      <c r="C84" s="17"/>
      <c r="D84" s="17"/>
      <c r="E84" s="17"/>
      <c r="F84" s="17"/>
      <c r="G84" s="17"/>
      <c r="H84" s="17"/>
    </row>
    <row r="85" spans="1:8" ht="15.75" customHeight="1" x14ac:dyDescent="0.25">
      <c r="A85" s="17"/>
      <c r="B85" s="17"/>
      <c r="C85" s="17"/>
      <c r="D85" s="17"/>
      <c r="E85" s="17"/>
      <c r="F85" s="17"/>
      <c r="G85" s="17"/>
      <c r="H85" s="17"/>
    </row>
    <row r="86" spans="1:8" ht="15.75" customHeight="1" x14ac:dyDescent="0.25">
      <c r="A86" s="17"/>
      <c r="B86" s="17"/>
      <c r="C86" s="17"/>
      <c r="D86" s="17"/>
      <c r="E86" s="17"/>
      <c r="F86" s="17"/>
      <c r="G86" s="17"/>
      <c r="H86" s="17"/>
    </row>
    <row r="87" spans="1:8" ht="15.75" customHeight="1" x14ac:dyDescent="0.25">
      <c r="A87" s="17"/>
      <c r="B87" s="17"/>
      <c r="C87" s="17"/>
      <c r="D87" s="17"/>
      <c r="E87" s="17"/>
      <c r="F87" s="17"/>
      <c r="G87" s="17"/>
      <c r="H87" s="17"/>
    </row>
    <row r="88" spans="1:8" ht="15.75" customHeight="1" x14ac:dyDescent="0.25">
      <c r="A88" s="17"/>
      <c r="B88" s="17"/>
      <c r="C88" s="17"/>
      <c r="D88" s="17"/>
      <c r="E88" s="17"/>
      <c r="F88" s="17"/>
      <c r="G88" s="17"/>
      <c r="H88" s="17"/>
    </row>
    <row r="89" spans="1:8" ht="15.75" customHeight="1" x14ac:dyDescent="0.25">
      <c r="A89" s="17"/>
      <c r="B89" s="17"/>
      <c r="C89" s="17"/>
      <c r="D89" s="17"/>
      <c r="E89" s="17"/>
      <c r="F89" s="17"/>
      <c r="G89" s="17"/>
      <c r="H89" s="17"/>
    </row>
    <row r="90" spans="1:8" ht="15.75" customHeight="1" x14ac:dyDescent="0.25">
      <c r="A90" s="17"/>
      <c r="B90" s="17"/>
      <c r="C90" s="17"/>
      <c r="D90" s="17"/>
      <c r="E90" s="17"/>
      <c r="F90" s="17"/>
      <c r="G90" s="17"/>
      <c r="H90" s="17"/>
    </row>
    <row r="91" spans="1:8" ht="15.75" customHeight="1" x14ac:dyDescent="0.25">
      <c r="A91" s="17"/>
      <c r="B91" s="17"/>
      <c r="C91" s="17"/>
      <c r="D91" s="17"/>
      <c r="E91" s="17"/>
      <c r="F91" s="17"/>
      <c r="G91" s="17"/>
      <c r="H91" s="17"/>
    </row>
    <row r="92" spans="1:8" ht="15.75" customHeight="1" x14ac:dyDescent="0.25">
      <c r="A92" s="17"/>
      <c r="B92" s="17"/>
      <c r="C92" s="17"/>
      <c r="D92" s="17"/>
      <c r="E92" s="17"/>
      <c r="F92" s="17"/>
      <c r="G92" s="17"/>
      <c r="H92" s="17"/>
    </row>
    <row r="93" spans="1:8" ht="15.75" customHeight="1" x14ac:dyDescent="0.25">
      <c r="A93" s="17"/>
      <c r="B93" s="17"/>
      <c r="C93" s="17"/>
      <c r="D93" s="17"/>
      <c r="E93" s="17"/>
      <c r="F93" s="17"/>
      <c r="G93" s="17"/>
      <c r="H93" s="17"/>
    </row>
    <row r="94" spans="1:8" ht="15.75" customHeight="1" x14ac:dyDescent="0.25">
      <c r="A94" s="17"/>
      <c r="B94" s="17"/>
      <c r="C94" s="17"/>
      <c r="D94" s="17"/>
      <c r="E94" s="17"/>
      <c r="F94" s="17"/>
      <c r="G94" s="17"/>
      <c r="H94" s="17"/>
    </row>
    <row r="95" spans="1:8" ht="15.75" customHeight="1" x14ac:dyDescent="0.25">
      <c r="A95" s="17"/>
      <c r="B95" s="17"/>
      <c r="C95" s="17"/>
      <c r="D95" s="17"/>
      <c r="E95" s="17"/>
      <c r="F95" s="17"/>
      <c r="G95" s="17"/>
      <c r="H95" s="17"/>
    </row>
    <row r="96" spans="1:8" ht="15.75" customHeight="1" x14ac:dyDescent="0.25">
      <c r="A96" s="17"/>
      <c r="B96" s="17"/>
      <c r="C96" s="17"/>
      <c r="D96" s="17"/>
      <c r="E96" s="17"/>
      <c r="F96" s="17"/>
      <c r="G96" s="17"/>
      <c r="H96" s="17"/>
    </row>
    <row r="97" spans="1:8" ht="15.75" customHeight="1" x14ac:dyDescent="0.25">
      <c r="A97" s="17"/>
      <c r="B97" s="17"/>
      <c r="C97" s="17"/>
      <c r="D97" s="17"/>
      <c r="E97" s="17"/>
      <c r="F97" s="17"/>
      <c r="G97" s="17"/>
      <c r="H97" s="17"/>
    </row>
    <row r="98" spans="1:8" ht="15.75" customHeight="1" x14ac:dyDescent="0.25">
      <c r="A98" s="17"/>
      <c r="B98" s="17"/>
      <c r="C98" s="17"/>
      <c r="D98" s="17"/>
      <c r="E98" s="17"/>
      <c r="F98" s="17"/>
      <c r="G98" s="17"/>
      <c r="H98" s="17"/>
    </row>
    <row r="99" spans="1:8" ht="15.75" customHeight="1" x14ac:dyDescent="0.25">
      <c r="A99" s="17"/>
      <c r="B99" s="17"/>
      <c r="C99" s="17"/>
      <c r="D99" s="17"/>
      <c r="E99" s="17"/>
      <c r="F99" s="17"/>
      <c r="G99" s="17"/>
      <c r="H99" s="17"/>
    </row>
    <row r="100" spans="1:8" ht="15.75" customHeight="1" x14ac:dyDescent="0.25">
      <c r="A100" s="17"/>
      <c r="B100" s="17"/>
      <c r="C100" s="17"/>
      <c r="D100" s="17"/>
      <c r="E100" s="17"/>
      <c r="F100" s="17"/>
      <c r="G100" s="17"/>
      <c r="H100" s="17"/>
    </row>
  </sheetData>
  <mergeCells count="19">
    <mergeCell ref="A1:H1"/>
    <mergeCell ref="A2:B2"/>
    <mergeCell ref="C2:D2"/>
    <mergeCell ref="E2:F2"/>
    <mergeCell ref="G2:H2"/>
    <mergeCell ref="A5:H5"/>
    <mergeCell ref="A32:D32"/>
    <mergeCell ref="A33:D33"/>
    <mergeCell ref="A34:D34"/>
    <mergeCell ref="C3:D3"/>
    <mergeCell ref="A17:D17"/>
    <mergeCell ref="A18:D18"/>
    <mergeCell ref="A19:D19"/>
    <mergeCell ref="A21:H21"/>
    <mergeCell ref="A29:D29"/>
    <mergeCell ref="A31:H31"/>
    <mergeCell ref="E3:F3"/>
    <mergeCell ref="G3:H3"/>
    <mergeCell ref="A3:B3"/>
  </mergeCells>
  <pageMargins left="0.75" right="0.75" top="1" bottom="1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2E86AB"/>
  </sheetPr>
  <dimension ref="A1:H100"/>
  <sheetViews>
    <sheetView workbookViewId="0">
      <selection sqref="A1:H1"/>
    </sheetView>
  </sheetViews>
  <sheetFormatPr defaultColWidth="14.42578125" defaultRowHeight="15" customHeight="1" x14ac:dyDescent="0.25"/>
  <cols>
    <col min="1" max="1" width="10" customWidth="1"/>
    <col min="2" max="2" width="26" customWidth="1"/>
    <col min="3" max="7" width="16" customWidth="1"/>
    <col min="8" max="8" width="20" customWidth="1"/>
  </cols>
  <sheetData>
    <row r="1" spans="1:8" ht="27.75" customHeight="1" x14ac:dyDescent="0.25">
      <c r="A1" s="163" t="s">
        <v>246</v>
      </c>
      <c r="B1" s="146"/>
      <c r="C1" s="146"/>
      <c r="D1" s="146"/>
      <c r="E1" s="146"/>
      <c r="F1" s="146"/>
      <c r="G1" s="146"/>
      <c r="H1" s="147"/>
    </row>
    <row r="2" spans="1:8" ht="18" customHeight="1" x14ac:dyDescent="0.25">
      <c r="A2" s="164" t="s">
        <v>34</v>
      </c>
      <c r="B2" s="147"/>
      <c r="C2" s="164" t="s">
        <v>35</v>
      </c>
      <c r="D2" s="147"/>
      <c r="E2" s="164" t="s">
        <v>36</v>
      </c>
      <c r="F2" s="147"/>
      <c r="G2" s="164" t="s">
        <v>37</v>
      </c>
      <c r="H2" s="147"/>
    </row>
    <row r="3" spans="1:8" ht="21.75" customHeight="1" x14ac:dyDescent="0.25">
      <c r="A3" s="162">
        <f>E29</f>
        <v>4275</v>
      </c>
      <c r="B3" s="147"/>
      <c r="C3" s="154">
        <f>E19</f>
        <v>3080</v>
      </c>
      <c r="D3" s="147"/>
      <c r="E3" s="160">
        <f>E29-E19</f>
        <v>1195</v>
      </c>
      <c r="F3" s="147"/>
      <c r="G3" s="161">
        <f>IF(E29&gt;0,(E29-E19)/E29,0)</f>
        <v>0.27953216374269008</v>
      </c>
      <c r="H3" s="147"/>
    </row>
    <row r="4" spans="1:8" ht="14.25" customHeight="1" x14ac:dyDescent="0.25">
      <c r="A4" s="17"/>
      <c r="B4" s="17"/>
      <c r="C4" s="17"/>
      <c r="D4" s="17"/>
      <c r="E4" s="17"/>
      <c r="F4" s="17"/>
      <c r="G4" s="17"/>
      <c r="H4" s="17"/>
    </row>
    <row r="5" spans="1:8" ht="19.5" customHeight="1" x14ac:dyDescent="0.25">
      <c r="A5" s="150" t="s">
        <v>247</v>
      </c>
      <c r="B5" s="146"/>
      <c r="C5" s="146"/>
      <c r="D5" s="146"/>
      <c r="E5" s="146"/>
      <c r="F5" s="146"/>
      <c r="G5" s="146"/>
      <c r="H5" s="147"/>
    </row>
    <row r="6" spans="1:8" ht="15" customHeight="1" x14ac:dyDescent="0.25">
      <c r="A6" s="36" t="s">
        <v>22</v>
      </c>
      <c r="B6" s="36" t="s">
        <v>39</v>
      </c>
      <c r="C6" s="36" t="s">
        <v>40</v>
      </c>
      <c r="D6" s="36" t="s">
        <v>41</v>
      </c>
      <c r="E6" s="36" t="s">
        <v>42</v>
      </c>
      <c r="F6" s="36" t="s">
        <v>43</v>
      </c>
      <c r="G6" s="36" t="s">
        <v>44</v>
      </c>
      <c r="H6" s="36"/>
    </row>
    <row r="7" spans="1:8" ht="15" customHeight="1" x14ac:dyDescent="0.25">
      <c r="A7" s="37" t="s">
        <v>248</v>
      </c>
      <c r="B7" s="38" t="s">
        <v>46</v>
      </c>
      <c r="C7" s="37" t="s">
        <v>167</v>
      </c>
      <c r="D7" s="37" t="s">
        <v>48</v>
      </c>
      <c r="E7" s="39">
        <v>86</v>
      </c>
      <c r="F7" s="37"/>
      <c r="G7" s="37"/>
      <c r="H7" s="37"/>
    </row>
    <row r="8" spans="1:8" ht="15" customHeight="1" x14ac:dyDescent="0.25">
      <c r="A8" s="40" t="s">
        <v>248</v>
      </c>
      <c r="B8" s="41" t="s">
        <v>49</v>
      </c>
      <c r="C8" s="40"/>
      <c r="D8" s="40" t="s">
        <v>50</v>
      </c>
      <c r="E8" s="42">
        <v>216</v>
      </c>
      <c r="F8" s="40"/>
      <c r="G8" s="40"/>
      <c r="H8" s="40"/>
    </row>
    <row r="9" spans="1:8" ht="15" customHeight="1" x14ac:dyDescent="0.25">
      <c r="A9" s="37" t="s">
        <v>248</v>
      </c>
      <c r="B9" s="38" t="s">
        <v>51</v>
      </c>
      <c r="C9" s="37"/>
      <c r="D9" s="37" t="s">
        <v>50</v>
      </c>
      <c r="E9" s="39">
        <v>230</v>
      </c>
      <c r="F9" s="37"/>
      <c r="G9" s="37"/>
      <c r="H9" s="37"/>
    </row>
    <row r="10" spans="1:8" ht="15" customHeight="1" x14ac:dyDescent="0.25">
      <c r="A10" s="40" t="s">
        <v>248</v>
      </c>
      <c r="B10" s="41" t="s">
        <v>52</v>
      </c>
      <c r="C10" s="40"/>
      <c r="D10" s="40" t="s">
        <v>50</v>
      </c>
      <c r="E10" s="42">
        <v>95</v>
      </c>
      <c r="F10" s="40"/>
      <c r="G10" s="40"/>
      <c r="H10" s="40"/>
    </row>
    <row r="11" spans="1:8" ht="15" customHeight="1" x14ac:dyDescent="0.25">
      <c r="A11" s="37" t="s">
        <v>248</v>
      </c>
      <c r="B11" s="38" t="s">
        <v>53</v>
      </c>
      <c r="C11" s="37"/>
      <c r="D11" s="37" t="s">
        <v>50</v>
      </c>
      <c r="E11" s="39">
        <v>120</v>
      </c>
      <c r="F11" s="37"/>
      <c r="G11" s="37"/>
      <c r="H11" s="37"/>
    </row>
    <row r="12" spans="1:8" ht="15" customHeight="1" x14ac:dyDescent="0.25">
      <c r="A12" s="40" t="s">
        <v>248</v>
      </c>
      <c r="B12" s="41" t="s">
        <v>54</v>
      </c>
      <c r="C12" s="40"/>
      <c r="D12" s="40" t="s">
        <v>50</v>
      </c>
      <c r="E12" s="42">
        <v>288</v>
      </c>
      <c r="F12" s="40"/>
      <c r="G12" s="40"/>
      <c r="H12" s="40"/>
    </row>
    <row r="13" spans="1:8" ht="15" customHeight="1" x14ac:dyDescent="0.25">
      <c r="A13" s="37" t="s">
        <v>248</v>
      </c>
      <c r="B13" s="38" t="s">
        <v>55</v>
      </c>
      <c r="C13" s="37"/>
      <c r="D13" s="37" t="s">
        <v>50</v>
      </c>
      <c r="E13" s="39">
        <v>135</v>
      </c>
      <c r="F13" s="37"/>
      <c r="G13" s="37"/>
      <c r="H13" s="37"/>
    </row>
    <row r="14" spans="1:8" ht="15" customHeight="1" x14ac:dyDescent="0.25">
      <c r="A14" s="40" t="s">
        <v>248</v>
      </c>
      <c r="B14" s="40" t="s">
        <v>126</v>
      </c>
      <c r="C14" s="31"/>
      <c r="D14" s="40" t="s">
        <v>50</v>
      </c>
      <c r="E14" s="107">
        <f>'💳 Empréstimo'!F34</f>
        <v>560</v>
      </c>
      <c r="F14" s="31"/>
      <c r="G14" s="40" t="s">
        <v>249</v>
      </c>
      <c r="H14" s="31"/>
    </row>
    <row r="15" spans="1:8" ht="15" customHeight="1" x14ac:dyDescent="0.25">
      <c r="A15" s="31"/>
      <c r="B15" s="31"/>
      <c r="C15" s="31"/>
      <c r="D15" s="31"/>
      <c r="E15" s="29"/>
      <c r="F15" s="31"/>
      <c r="G15" s="31"/>
      <c r="H15" s="31"/>
    </row>
    <row r="16" spans="1:8" ht="15" customHeight="1" x14ac:dyDescent="0.25">
      <c r="A16" s="31"/>
      <c r="B16" s="31"/>
      <c r="C16" s="31"/>
      <c r="D16" s="31"/>
      <c r="E16" s="29"/>
      <c r="F16" s="31"/>
      <c r="G16" s="31"/>
      <c r="H16" s="31"/>
    </row>
    <row r="17" spans="1:8" ht="15" customHeight="1" x14ac:dyDescent="0.25">
      <c r="A17" s="155" t="s">
        <v>56</v>
      </c>
      <c r="B17" s="152"/>
      <c r="C17" s="152"/>
      <c r="D17" s="153"/>
      <c r="E17" s="43">
        <f>SUM(E7:E16)</f>
        <v>1730</v>
      </c>
      <c r="F17" s="44"/>
      <c r="G17" s="44"/>
      <c r="H17" s="44"/>
    </row>
    <row r="18" spans="1:8" ht="15" customHeight="1" x14ac:dyDescent="0.25">
      <c r="A18" s="156" t="s">
        <v>57</v>
      </c>
      <c r="B18" s="152"/>
      <c r="C18" s="152"/>
      <c r="D18" s="153"/>
      <c r="E18" s="45">
        <v>1350</v>
      </c>
      <c r="F18" s="44"/>
      <c r="G18" s="44"/>
      <c r="H18" s="44"/>
    </row>
    <row r="19" spans="1:8" ht="15" customHeight="1" x14ac:dyDescent="0.25">
      <c r="A19" s="157" t="s">
        <v>58</v>
      </c>
      <c r="B19" s="152"/>
      <c r="C19" s="152"/>
      <c r="D19" s="153"/>
      <c r="E19" s="46">
        <f>E17+E18</f>
        <v>3080</v>
      </c>
      <c r="F19" s="47"/>
      <c r="G19" s="47"/>
      <c r="H19" s="47"/>
    </row>
    <row r="20" spans="1:8" ht="14.25" customHeight="1" x14ac:dyDescent="0.25">
      <c r="A20" s="17"/>
      <c r="B20" s="17"/>
      <c r="C20" s="17"/>
      <c r="D20" s="17"/>
      <c r="E20" s="17"/>
      <c r="F20" s="17"/>
      <c r="G20" s="17"/>
      <c r="H20" s="17"/>
    </row>
    <row r="21" spans="1:8" ht="19.5" customHeight="1" x14ac:dyDescent="0.25">
      <c r="A21" s="158" t="s">
        <v>250</v>
      </c>
      <c r="B21" s="146"/>
      <c r="C21" s="146"/>
      <c r="D21" s="146"/>
      <c r="E21" s="146"/>
      <c r="F21" s="146"/>
      <c r="G21" s="146"/>
      <c r="H21" s="147"/>
    </row>
    <row r="22" spans="1:8" ht="15" customHeight="1" x14ac:dyDescent="0.25">
      <c r="A22" s="48" t="s">
        <v>22</v>
      </c>
      <c r="B22" s="48" t="s">
        <v>39</v>
      </c>
      <c r="C22" s="48" t="s">
        <v>40</v>
      </c>
      <c r="D22" s="48" t="s">
        <v>41</v>
      </c>
      <c r="E22" s="48" t="s">
        <v>42</v>
      </c>
      <c r="F22" s="48" t="s">
        <v>60</v>
      </c>
      <c r="G22" s="48" t="s">
        <v>44</v>
      </c>
      <c r="H22" s="48"/>
    </row>
    <row r="23" spans="1:8" ht="15" customHeight="1" x14ac:dyDescent="0.25">
      <c r="A23" s="49" t="s">
        <v>248</v>
      </c>
      <c r="B23" s="50" t="s">
        <v>61</v>
      </c>
      <c r="C23" s="49" t="s">
        <v>62</v>
      </c>
      <c r="D23" s="49" t="s">
        <v>50</v>
      </c>
      <c r="E23" s="51">
        <v>1475</v>
      </c>
      <c r="F23" s="49"/>
      <c r="G23" s="49"/>
      <c r="H23" s="49"/>
    </row>
    <row r="24" spans="1:8" ht="15" customHeight="1" x14ac:dyDescent="0.25">
      <c r="A24" s="52" t="s">
        <v>248</v>
      </c>
      <c r="B24" s="53" t="s">
        <v>63</v>
      </c>
      <c r="C24" s="52" t="s">
        <v>62</v>
      </c>
      <c r="D24" s="52" t="s">
        <v>50</v>
      </c>
      <c r="E24" s="54">
        <v>1300</v>
      </c>
      <c r="F24" s="52"/>
      <c r="G24" s="52"/>
      <c r="H24" s="52"/>
    </row>
    <row r="25" spans="1:8" ht="15" customHeight="1" x14ac:dyDescent="0.25">
      <c r="A25" s="49" t="s">
        <v>248</v>
      </c>
      <c r="B25" s="50" t="s">
        <v>64</v>
      </c>
      <c r="C25" s="49" t="s">
        <v>62</v>
      </c>
      <c r="D25" s="49" t="s">
        <v>50</v>
      </c>
      <c r="E25" s="51">
        <v>1500</v>
      </c>
      <c r="F25" s="49"/>
      <c r="G25" s="49"/>
      <c r="H25" s="49"/>
    </row>
    <row r="26" spans="1:8" ht="15" customHeight="1" x14ac:dyDescent="0.25">
      <c r="A26" s="52"/>
      <c r="B26" s="53"/>
      <c r="C26" s="52"/>
      <c r="D26" s="52"/>
      <c r="E26" s="54"/>
      <c r="F26" s="52"/>
      <c r="G26" s="52"/>
      <c r="H26" s="52"/>
    </row>
    <row r="27" spans="1:8" ht="15" customHeight="1" x14ac:dyDescent="0.25">
      <c r="A27" s="55"/>
      <c r="B27" s="55"/>
      <c r="C27" s="55"/>
      <c r="D27" s="55"/>
      <c r="E27" s="56"/>
      <c r="F27" s="55"/>
      <c r="G27" s="55"/>
      <c r="H27" s="55"/>
    </row>
    <row r="28" spans="1:8" ht="15" customHeight="1" x14ac:dyDescent="0.25">
      <c r="A28" s="55"/>
      <c r="B28" s="55"/>
      <c r="C28" s="55"/>
      <c r="D28" s="55"/>
      <c r="E28" s="56"/>
      <c r="F28" s="55"/>
      <c r="G28" s="55"/>
      <c r="H28" s="55"/>
    </row>
    <row r="29" spans="1:8" ht="15" customHeight="1" x14ac:dyDescent="0.25">
      <c r="A29" s="157" t="s">
        <v>66</v>
      </c>
      <c r="B29" s="152"/>
      <c r="C29" s="152"/>
      <c r="D29" s="153"/>
      <c r="E29" s="46">
        <f>SUM(E23:E28)</f>
        <v>4275</v>
      </c>
      <c r="F29" s="47"/>
      <c r="G29" s="47"/>
      <c r="H29" s="47"/>
    </row>
    <row r="30" spans="1:8" ht="15.75" customHeight="1" x14ac:dyDescent="0.25">
      <c r="A30" s="17"/>
      <c r="B30" s="17"/>
      <c r="C30" s="17"/>
      <c r="D30" s="17"/>
      <c r="E30" s="17"/>
      <c r="F30" s="17"/>
      <c r="G30" s="17"/>
      <c r="H30" s="17"/>
    </row>
    <row r="31" spans="1:8" ht="19.5" customHeight="1" x14ac:dyDescent="0.25">
      <c r="A31" s="159" t="s">
        <v>67</v>
      </c>
      <c r="B31" s="146"/>
      <c r="C31" s="146"/>
      <c r="D31" s="146"/>
      <c r="E31" s="146"/>
      <c r="F31" s="146"/>
      <c r="G31" s="146"/>
      <c r="H31" s="147"/>
    </row>
    <row r="32" spans="1:8" ht="15" customHeight="1" x14ac:dyDescent="0.25">
      <c r="A32" s="151" t="s">
        <v>68</v>
      </c>
      <c r="B32" s="152"/>
      <c r="C32" s="152"/>
      <c r="D32" s="153"/>
      <c r="E32" s="57">
        <f>E29-E19</f>
        <v>1195</v>
      </c>
      <c r="F32" s="58"/>
      <c r="G32" s="58"/>
      <c r="H32" s="58"/>
    </row>
    <row r="33" spans="1:8" ht="15" customHeight="1" x14ac:dyDescent="0.25">
      <c r="A33" s="151" t="s">
        <v>76</v>
      </c>
      <c r="B33" s="152"/>
      <c r="C33" s="152"/>
      <c r="D33" s="153"/>
      <c r="E33" s="57">
        <f>0.7*(E29-E19)</f>
        <v>836.5</v>
      </c>
      <c r="F33" s="58"/>
      <c r="G33" s="58"/>
      <c r="H33" s="58"/>
    </row>
    <row r="34" spans="1:8" ht="15" customHeight="1" x14ac:dyDescent="0.25">
      <c r="A34" s="151" t="s">
        <v>70</v>
      </c>
      <c r="B34" s="152"/>
      <c r="C34" s="152"/>
      <c r="D34" s="153"/>
      <c r="E34" s="57">
        <f>E19/6</f>
        <v>513.33333333333337</v>
      </c>
      <c r="F34" s="58"/>
      <c r="G34" s="58"/>
      <c r="H34" s="58"/>
    </row>
    <row r="35" spans="1:8" ht="15.75" customHeight="1" x14ac:dyDescent="0.25">
      <c r="A35" s="17"/>
      <c r="B35" s="17"/>
      <c r="C35" s="17"/>
      <c r="D35" s="17"/>
      <c r="E35" s="17"/>
      <c r="F35" s="17"/>
      <c r="G35" s="17"/>
      <c r="H35" s="17"/>
    </row>
    <row r="36" spans="1:8" ht="15.75" customHeight="1" x14ac:dyDescent="0.25">
      <c r="A36" s="17"/>
      <c r="B36" s="17"/>
      <c r="C36" s="17"/>
      <c r="D36" s="17"/>
      <c r="E36" s="17"/>
      <c r="F36" s="17"/>
      <c r="G36" s="17"/>
      <c r="H36" s="17"/>
    </row>
    <row r="37" spans="1:8" ht="15.75" customHeight="1" x14ac:dyDescent="0.25">
      <c r="A37" s="17"/>
      <c r="B37" s="17"/>
      <c r="C37" s="17"/>
      <c r="D37" s="17"/>
      <c r="E37" s="17"/>
      <c r="F37" s="17"/>
      <c r="G37" s="17"/>
      <c r="H37" s="17"/>
    </row>
    <row r="38" spans="1:8" ht="15.75" customHeight="1" x14ac:dyDescent="0.25">
      <c r="A38" s="17"/>
      <c r="B38" s="17"/>
      <c r="C38" s="17"/>
      <c r="D38" s="17"/>
      <c r="E38" s="17"/>
      <c r="F38" s="17"/>
      <c r="G38" s="17"/>
      <c r="H38" s="17"/>
    </row>
    <row r="39" spans="1:8" ht="15.75" customHeight="1" x14ac:dyDescent="0.25">
      <c r="A39" s="17"/>
      <c r="B39" s="17"/>
      <c r="C39" s="17"/>
      <c r="D39" s="17"/>
      <c r="E39" s="17"/>
      <c r="F39" s="17"/>
      <c r="G39" s="17"/>
      <c r="H39" s="17"/>
    </row>
    <row r="40" spans="1:8" ht="15.75" customHeight="1" x14ac:dyDescent="0.25">
      <c r="A40" s="17"/>
      <c r="B40" s="17"/>
      <c r="C40" s="17"/>
      <c r="D40" s="17"/>
      <c r="E40" s="17"/>
      <c r="F40" s="17"/>
      <c r="G40" s="17"/>
      <c r="H40" s="17"/>
    </row>
    <row r="41" spans="1:8" ht="15.75" customHeight="1" x14ac:dyDescent="0.25">
      <c r="A41" s="17"/>
      <c r="B41" s="17"/>
      <c r="C41" s="17"/>
      <c r="D41" s="17"/>
      <c r="E41" s="17"/>
      <c r="F41" s="17"/>
      <c r="G41" s="17"/>
      <c r="H41" s="17"/>
    </row>
    <row r="42" spans="1:8" ht="15.75" customHeight="1" x14ac:dyDescent="0.25">
      <c r="A42" s="17"/>
      <c r="B42" s="17"/>
      <c r="C42" s="17"/>
      <c r="D42" s="17"/>
      <c r="E42" s="17"/>
      <c r="F42" s="17"/>
      <c r="G42" s="17"/>
      <c r="H42" s="17"/>
    </row>
    <row r="43" spans="1:8" ht="15.75" customHeight="1" x14ac:dyDescent="0.25">
      <c r="A43" s="17"/>
      <c r="B43" s="17"/>
      <c r="C43" s="17"/>
      <c r="D43" s="17"/>
      <c r="E43" s="17"/>
      <c r="F43" s="17"/>
      <c r="G43" s="17"/>
      <c r="H43" s="17"/>
    </row>
    <row r="44" spans="1:8" ht="15.75" customHeight="1" x14ac:dyDescent="0.25">
      <c r="A44" s="17"/>
      <c r="B44" s="17"/>
      <c r="C44" s="17"/>
      <c r="D44" s="17"/>
      <c r="E44" s="17"/>
      <c r="F44" s="17"/>
      <c r="G44" s="17"/>
      <c r="H44" s="17"/>
    </row>
    <row r="45" spans="1:8" ht="15.75" customHeight="1" x14ac:dyDescent="0.25">
      <c r="A45" s="17"/>
      <c r="B45" s="17"/>
      <c r="C45" s="17"/>
      <c r="D45" s="17"/>
      <c r="E45" s="17"/>
      <c r="F45" s="17"/>
      <c r="G45" s="17"/>
      <c r="H45" s="17"/>
    </row>
    <row r="46" spans="1:8" ht="15.75" customHeight="1" x14ac:dyDescent="0.25">
      <c r="A46" s="17"/>
      <c r="B46" s="17"/>
      <c r="C46" s="17"/>
      <c r="D46" s="17"/>
      <c r="E46" s="17"/>
      <c r="F46" s="17"/>
      <c r="G46" s="17"/>
      <c r="H46" s="17"/>
    </row>
    <row r="47" spans="1:8" ht="15.75" customHeight="1" x14ac:dyDescent="0.25">
      <c r="A47" s="17"/>
      <c r="B47" s="17"/>
      <c r="C47" s="17"/>
      <c r="D47" s="17"/>
      <c r="E47" s="17"/>
      <c r="F47" s="17"/>
      <c r="G47" s="17"/>
      <c r="H47" s="17"/>
    </row>
    <row r="48" spans="1:8" ht="15.75" customHeight="1" x14ac:dyDescent="0.25">
      <c r="A48" s="17"/>
      <c r="B48" s="17"/>
      <c r="C48" s="17"/>
      <c r="D48" s="17"/>
      <c r="E48" s="17"/>
      <c r="F48" s="17"/>
      <c r="G48" s="17"/>
      <c r="H48" s="17"/>
    </row>
    <row r="49" spans="1:8" ht="15.75" customHeight="1" x14ac:dyDescent="0.25">
      <c r="A49" s="17"/>
      <c r="B49" s="17"/>
      <c r="C49" s="17"/>
      <c r="D49" s="17"/>
      <c r="E49" s="17"/>
      <c r="F49" s="17"/>
      <c r="G49" s="17"/>
      <c r="H49" s="17"/>
    </row>
    <row r="50" spans="1:8" ht="15.75" customHeight="1" x14ac:dyDescent="0.25">
      <c r="A50" s="17"/>
      <c r="B50" s="17"/>
      <c r="C50" s="17"/>
      <c r="D50" s="17"/>
      <c r="E50" s="17"/>
      <c r="F50" s="17"/>
      <c r="G50" s="17"/>
      <c r="H50" s="17"/>
    </row>
    <row r="51" spans="1:8" ht="15.75" customHeight="1" x14ac:dyDescent="0.25">
      <c r="A51" s="17"/>
      <c r="B51" s="17"/>
      <c r="C51" s="17"/>
      <c r="D51" s="17"/>
      <c r="E51" s="17"/>
      <c r="F51" s="17"/>
      <c r="G51" s="17"/>
      <c r="H51" s="17"/>
    </row>
    <row r="52" spans="1:8" ht="15.75" customHeight="1" x14ac:dyDescent="0.25">
      <c r="A52" s="17"/>
      <c r="B52" s="17"/>
      <c r="C52" s="17"/>
      <c r="D52" s="17"/>
      <c r="E52" s="17"/>
      <c r="F52" s="17"/>
      <c r="G52" s="17"/>
      <c r="H52" s="17"/>
    </row>
    <row r="53" spans="1:8" ht="15.75" customHeight="1" x14ac:dyDescent="0.25">
      <c r="A53" s="17"/>
      <c r="B53" s="17"/>
      <c r="C53" s="17"/>
      <c r="D53" s="17"/>
      <c r="E53" s="17"/>
      <c r="F53" s="17"/>
      <c r="G53" s="17"/>
      <c r="H53" s="17"/>
    </row>
    <row r="54" spans="1:8" ht="15.75" customHeight="1" x14ac:dyDescent="0.25">
      <c r="A54" s="17"/>
      <c r="B54" s="17"/>
      <c r="C54" s="17"/>
      <c r="D54" s="17"/>
      <c r="E54" s="17"/>
      <c r="F54" s="17"/>
      <c r="G54" s="17"/>
      <c r="H54" s="17"/>
    </row>
    <row r="55" spans="1:8" ht="15.75" customHeight="1" x14ac:dyDescent="0.25">
      <c r="A55" s="17"/>
      <c r="B55" s="17"/>
      <c r="C55" s="17"/>
      <c r="D55" s="17"/>
      <c r="E55" s="17"/>
      <c r="F55" s="17"/>
      <c r="G55" s="17"/>
      <c r="H55" s="17"/>
    </row>
    <row r="56" spans="1:8" ht="15.75" customHeight="1" x14ac:dyDescent="0.25">
      <c r="A56" s="17"/>
      <c r="B56" s="17"/>
      <c r="C56" s="17"/>
      <c r="D56" s="17"/>
      <c r="E56" s="17"/>
      <c r="F56" s="17"/>
      <c r="G56" s="17"/>
      <c r="H56" s="17"/>
    </row>
    <row r="57" spans="1:8" ht="15.75" customHeight="1" x14ac:dyDescent="0.25">
      <c r="A57" s="17"/>
      <c r="B57" s="17"/>
      <c r="C57" s="17"/>
      <c r="D57" s="17"/>
      <c r="E57" s="17"/>
      <c r="F57" s="17"/>
      <c r="G57" s="17"/>
      <c r="H57" s="17"/>
    </row>
    <row r="58" spans="1:8" ht="15.75" customHeight="1" x14ac:dyDescent="0.25">
      <c r="A58" s="17"/>
      <c r="B58" s="17"/>
      <c r="C58" s="17"/>
      <c r="D58" s="17"/>
      <c r="E58" s="17"/>
      <c r="F58" s="17"/>
      <c r="G58" s="17"/>
      <c r="H58" s="17"/>
    </row>
    <row r="59" spans="1:8" ht="15.75" customHeight="1" x14ac:dyDescent="0.25">
      <c r="A59" s="17"/>
      <c r="B59" s="17"/>
      <c r="C59" s="17"/>
      <c r="D59" s="17"/>
      <c r="E59" s="17"/>
      <c r="F59" s="17"/>
      <c r="G59" s="17"/>
      <c r="H59" s="17"/>
    </row>
    <row r="60" spans="1:8" ht="15.75" customHeight="1" x14ac:dyDescent="0.25">
      <c r="A60" s="17"/>
      <c r="B60" s="17"/>
      <c r="C60" s="17"/>
      <c r="D60" s="17"/>
      <c r="E60" s="17"/>
      <c r="F60" s="17"/>
      <c r="G60" s="17"/>
      <c r="H60" s="17"/>
    </row>
    <row r="61" spans="1:8" ht="15.75" customHeight="1" x14ac:dyDescent="0.25">
      <c r="A61" s="17"/>
      <c r="B61" s="17"/>
      <c r="C61" s="17"/>
      <c r="D61" s="17"/>
      <c r="E61" s="17"/>
      <c r="F61" s="17"/>
      <c r="G61" s="17"/>
      <c r="H61" s="17"/>
    </row>
    <row r="62" spans="1:8" ht="15.75" customHeight="1" x14ac:dyDescent="0.25">
      <c r="A62" s="17"/>
      <c r="B62" s="17"/>
      <c r="C62" s="17"/>
      <c r="D62" s="17"/>
      <c r="E62" s="17"/>
      <c r="F62" s="17"/>
      <c r="G62" s="17"/>
      <c r="H62" s="17"/>
    </row>
    <row r="63" spans="1:8" ht="15.75" customHeight="1" x14ac:dyDescent="0.25">
      <c r="A63" s="17"/>
      <c r="B63" s="17"/>
      <c r="C63" s="17"/>
      <c r="D63" s="17"/>
      <c r="E63" s="17"/>
      <c r="F63" s="17"/>
      <c r="G63" s="17"/>
      <c r="H63" s="17"/>
    </row>
    <row r="64" spans="1:8" ht="15.75" customHeight="1" x14ac:dyDescent="0.25">
      <c r="A64" s="17"/>
      <c r="B64" s="17"/>
      <c r="C64" s="17"/>
      <c r="D64" s="17"/>
      <c r="E64" s="17"/>
      <c r="F64" s="17"/>
      <c r="G64" s="17"/>
      <c r="H64" s="17"/>
    </row>
    <row r="65" spans="1:8" ht="15.75" customHeight="1" x14ac:dyDescent="0.25">
      <c r="A65" s="17"/>
      <c r="B65" s="17"/>
      <c r="C65" s="17"/>
      <c r="D65" s="17"/>
      <c r="E65" s="17"/>
      <c r="F65" s="17"/>
      <c r="G65" s="17"/>
      <c r="H65" s="17"/>
    </row>
    <row r="66" spans="1:8" ht="15.75" customHeight="1" x14ac:dyDescent="0.25">
      <c r="A66" s="17"/>
      <c r="B66" s="17"/>
      <c r="C66" s="17"/>
      <c r="D66" s="17"/>
      <c r="E66" s="17"/>
      <c r="F66" s="17"/>
      <c r="G66" s="17"/>
      <c r="H66" s="17"/>
    </row>
    <row r="67" spans="1:8" ht="15.75" customHeight="1" x14ac:dyDescent="0.25">
      <c r="A67" s="17"/>
      <c r="B67" s="17"/>
      <c r="C67" s="17"/>
      <c r="D67" s="17"/>
      <c r="E67" s="17"/>
      <c r="F67" s="17"/>
      <c r="G67" s="17"/>
      <c r="H67" s="17"/>
    </row>
    <row r="68" spans="1:8" ht="15.75" customHeight="1" x14ac:dyDescent="0.25">
      <c r="A68" s="17"/>
      <c r="B68" s="17"/>
      <c r="C68" s="17"/>
      <c r="D68" s="17"/>
      <c r="E68" s="17"/>
      <c r="F68" s="17"/>
      <c r="G68" s="17"/>
      <c r="H68" s="17"/>
    </row>
    <row r="69" spans="1:8" ht="15.75" customHeight="1" x14ac:dyDescent="0.25">
      <c r="A69" s="17"/>
      <c r="B69" s="17"/>
      <c r="C69" s="17"/>
      <c r="D69" s="17"/>
      <c r="E69" s="17"/>
      <c r="F69" s="17"/>
      <c r="G69" s="17"/>
      <c r="H69" s="17"/>
    </row>
    <row r="70" spans="1:8" ht="15.75" customHeight="1" x14ac:dyDescent="0.25">
      <c r="A70" s="17"/>
      <c r="B70" s="17"/>
      <c r="C70" s="17"/>
      <c r="D70" s="17"/>
      <c r="E70" s="17"/>
      <c r="F70" s="17"/>
      <c r="G70" s="17"/>
      <c r="H70" s="17"/>
    </row>
    <row r="71" spans="1:8" ht="15.75" customHeight="1" x14ac:dyDescent="0.25">
      <c r="A71" s="17"/>
      <c r="B71" s="17"/>
      <c r="C71" s="17"/>
      <c r="D71" s="17"/>
      <c r="E71" s="17"/>
      <c r="F71" s="17"/>
      <c r="G71" s="17"/>
      <c r="H71" s="17"/>
    </row>
    <row r="72" spans="1:8" ht="15.75" customHeight="1" x14ac:dyDescent="0.25">
      <c r="A72" s="17"/>
      <c r="B72" s="17"/>
      <c r="C72" s="17"/>
      <c r="D72" s="17"/>
      <c r="E72" s="17"/>
      <c r="F72" s="17"/>
      <c r="G72" s="17"/>
      <c r="H72" s="17"/>
    </row>
    <row r="73" spans="1:8" ht="15.75" customHeight="1" x14ac:dyDescent="0.25">
      <c r="A73" s="17"/>
      <c r="B73" s="17"/>
      <c r="C73" s="17"/>
      <c r="D73" s="17"/>
      <c r="E73" s="17"/>
      <c r="F73" s="17"/>
      <c r="G73" s="17"/>
      <c r="H73" s="17"/>
    </row>
    <row r="74" spans="1:8" ht="15.75" customHeight="1" x14ac:dyDescent="0.25">
      <c r="A74" s="17"/>
      <c r="B74" s="17"/>
      <c r="C74" s="17"/>
      <c r="D74" s="17"/>
      <c r="E74" s="17"/>
      <c r="F74" s="17"/>
      <c r="G74" s="17"/>
      <c r="H74" s="17"/>
    </row>
    <row r="75" spans="1:8" ht="15.75" customHeight="1" x14ac:dyDescent="0.25">
      <c r="A75" s="17"/>
      <c r="B75" s="17"/>
      <c r="C75" s="17"/>
      <c r="D75" s="17"/>
      <c r="E75" s="17"/>
      <c r="F75" s="17"/>
      <c r="G75" s="17"/>
      <c r="H75" s="17"/>
    </row>
    <row r="76" spans="1:8" ht="15.75" customHeight="1" x14ac:dyDescent="0.25">
      <c r="A76" s="17"/>
      <c r="B76" s="17"/>
      <c r="C76" s="17"/>
      <c r="D76" s="17"/>
      <c r="E76" s="17"/>
      <c r="F76" s="17"/>
      <c r="G76" s="17"/>
      <c r="H76" s="17"/>
    </row>
    <row r="77" spans="1:8" ht="15.75" customHeight="1" x14ac:dyDescent="0.25">
      <c r="A77" s="17"/>
      <c r="B77" s="17"/>
      <c r="C77" s="17"/>
      <c r="D77" s="17"/>
      <c r="E77" s="17"/>
      <c r="F77" s="17"/>
      <c r="G77" s="17"/>
      <c r="H77" s="17"/>
    </row>
    <row r="78" spans="1:8" ht="15.75" customHeight="1" x14ac:dyDescent="0.25">
      <c r="A78" s="17"/>
      <c r="B78" s="17"/>
      <c r="C78" s="17"/>
      <c r="D78" s="17"/>
      <c r="E78" s="17"/>
      <c r="F78" s="17"/>
      <c r="G78" s="17"/>
      <c r="H78" s="17"/>
    </row>
    <row r="79" spans="1:8" ht="15.75" customHeight="1" x14ac:dyDescent="0.25">
      <c r="A79" s="17"/>
      <c r="B79" s="17"/>
      <c r="C79" s="17"/>
      <c r="D79" s="17"/>
      <c r="E79" s="17"/>
      <c r="F79" s="17"/>
      <c r="G79" s="17"/>
      <c r="H79" s="17"/>
    </row>
    <row r="80" spans="1:8" ht="15.75" customHeight="1" x14ac:dyDescent="0.25">
      <c r="A80" s="17"/>
      <c r="B80" s="17"/>
      <c r="C80" s="17"/>
      <c r="D80" s="17"/>
      <c r="E80" s="17"/>
      <c r="F80" s="17"/>
      <c r="G80" s="17"/>
      <c r="H80" s="17"/>
    </row>
    <row r="81" spans="1:8" ht="15.75" customHeight="1" x14ac:dyDescent="0.25">
      <c r="A81" s="17"/>
      <c r="B81" s="17"/>
      <c r="C81" s="17"/>
      <c r="D81" s="17"/>
      <c r="E81" s="17"/>
      <c r="F81" s="17"/>
      <c r="G81" s="17"/>
      <c r="H81" s="17"/>
    </row>
    <row r="82" spans="1:8" ht="15.75" customHeight="1" x14ac:dyDescent="0.25">
      <c r="A82" s="17"/>
      <c r="B82" s="17"/>
      <c r="C82" s="17"/>
      <c r="D82" s="17"/>
      <c r="E82" s="17"/>
      <c r="F82" s="17"/>
      <c r="G82" s="17"/>
      <c r="H82" s="17"/>
    </row>
    <row r="83" spans="1:8" ht="15.75" customHeight="1" x14ac:dyDescent="0.25">
      <c r="A83" s="17"/>
      <c r="B83" s="17"/>
      <c r="C83" s="17"/>
      <c r="D83" s="17"/>
      <c r="E83" s="17"/>
      <c r="F83" s="17"/>
      <c r="G83" s="17"/>
      <c r="H83" s="17"/>
    </row>
    <row r="84" spans="1:8" ht="15.75" customHeight="1" x14ac:dyDescent="0.25">
      <c r="A84" s="17"/>
      <c r="B84" s="17"/>
      <c r="C84" s="17"/>
      <c r="D84" s="17"/>
      <c r="E84" s="17"/>
      <c r="F84" s="17"/>
      <c r="G84" s="17"/>
      <c r="H84" s="17"/>
    </row>
    <row r="85" spans="1:8" ht="15.75" customHeight="1" x14ac:dyDescent="0.25">
      <c r="A85" s="17"/>
      <c r="B85" s="17"/>
      <c r="C85" s="17"/>
      <c r="D85" s="17"/>
      <c r="E85" s="17"/>
      <c r="F85" s="17"/>
      <c r="G85" s="17"/>
      <c r="H85" s="17"/>
    </row>
    <row r="86" spans="1:8" ht="15.75" customHeight="1" x14ac:dyDescent="0.25">
      <c r="A86" s="17"/>
      <c r="B86" s="17"/>
      <c r="C86" s="17"/>
      <c r="D86" s="17"/>
      <c r="E86" s="17"/>
      <c r="F86" s="17"/>
      <c r="G86" s="17"/>
      <c r="H86" s="17"/>
    </row>
    <row r="87" spans="1:8" ht="15.75" customHeight="1" x14ac:dyDescent="0.25">
      <c r="A87" s="17"/>
      <c r="B87" s="17"/>
      <c r="C87" s="17"/>
      <c r="D87" s="17"/>
      <c r="E87" s="17"/>
      <c r="F87" s="17"/>
      <c r="G87" s="17"/>
      <c r="H87" s="17"/>
    </row>
    <row r="88" spans="1:8" ht="15.75" customHeight="1" x14ac:dyDescent="0.25">
      <c r="A88" s="17"/>
      <c r="B88" s="17"/>
      <c r="C88" s="17"/>
      <c r="D88" s="17"/>
      <c r="E88" s="17"/>
      <c r="F88" s="17"/>
      <c r="G88" s="17"/>
      <c r="H88" s="17"/>
    </row>
    <row r="89" spans="1:8" ht="15.75" customHeight="1" x14ac:dyDescent="0.25">
      <c r="A89" s="17"/>
      <c r="B89" s="17"/>
      <c r="C89" s="17"/>
      <c r="D89" s="17"/>
      <c r="E89" s="17"/>
      <c r="F89" s="17"/>
      <c r="G89" s="17"/>
      <c r="H89" s="17"/>
    </row>
    <row r="90" spans="1:8" ht="15.75" customHeight="1" x14ac:dyDescent="0.25">
      <c r="A90" s="17"/>
      <c r="B90" s="17"/>
      <c r="C90" s="17"/>
      <c r="D90" s="17"/>
      <c r="E90" s="17"/>
      <c r="F90" s="17"/>
      <c r="G90" s="17"/>
      <c r="H90" s="17"/>
    </row>
    <row r="91" spans="1:8" ht="15.75" customHeight="1" x14ac:dyDescent="0.25">
      <c r="A91" s="17"/>
      <c r="B91" s="17"/>
      <c r="C91" s="17"/>
      <c r="D91" s="17"/>
      <c r="E91" s="17"/>
      <c r="F91" s="17"/>
      <c r="G91" s="17"/>
      <c r="H91" s="17"/>
    </row>
    <row r="92" spans="1:8" ht="15.75" customHeight="1" x14ac:dyDescent="0.25">
      <c r="A92" s="17"/>
      <c r="B92" s="17"/>
      <c r="C92" s="17"/>
      <c r="D92" s="17"/>
      <c r="E92" s="17"/>
      <c r="F92" s="17"/>
      <c r="G92" s="17"/>
      <c r="H92" s="17"/>
    </row>
    <row r="93" spans="1:8" ht="15.75" customHeight="1" x14ac:dyDescent="0.25">
      <c r="A93" s="17"/>
      <c r="B93" s="17"/>
      <c r="C93" s="17"/>
      <c r="D93" s="17"/>
      <c r="E93" s="17"/>
      <c r="F93" s="17"/>
      <c r="G93" s="17"/>
      <c r="H93" s="17"/>
    </row>
    <row r="94" spans="1:8" ht="15.75" customHeight="1" x14ac:dyDescent="0.25">
      <c r="A94" s="17"/>
      <c r="B94" s="17"/>
      <c r="C94" s="17"/>
      <c r="D94" s="17"/>
      <c r="E94" s="17"/>
      <c r="F94" s="17"/>
      <c r="G94" s="17"/>
      <c r="H94" s="17"/>
    </row>
    <row r="95" spans="1:8" ht="15.75" customHeight="1" x14ac:dyDescent="0.25">
      <c r="A95" s="17"/>
      <c r="B95" s="17"/>
      <c r="C95" s="17"/>
      <c r="D95" s="17"/>
      <c r="E95" s="17"/>
      <c r="F95" s="17"/>
      <c r="G95" s="17"/>
      <c r="H95" s="17"/>
    </row>
    <row r="96" spans="1:8" ht="15.75" customHeight="1" x14ac:dyDescent="0.25">
      <c r="A96" s="17"/>
      <c r="B96" s="17"/>
      <c r="C96" s="17"/>
      <c r="D96" s="17"/>
      <c r="E96" s="17"/>
      <c r="F96" s="17"/>
      <c r="G96" s="17"/>
      <c r="H96" s="17"/>
    </row>
    <row r="97" spans="1:8" ht="15.75" customHeight="1" x14ac:dyDescent="0.25">
      <c r="A97" s="17"/>
      <c r="B97" s="17"/>
      <c r="C97" s="17"/>
      <c r="D97" s="17"/>
      <c r="E97" s="17"/>
      <c r="F97" s="17"/>
      <c r="G97" s="17"/>
      <c r="H97" s="17"/>
    </row>
    <row r="98" spans="1:8" ht="15.75" customHeight="1" x14ac:dyDescent="0.25">
      <c r="A98" s="17"/>
      <c r="B98" s="17"/>
      <c r="C98" s="17"/>
      <c r="D98" s="17"/>
      <c r="E98" s="17"/>
      <c r="F98" s="17"/>
      <c r="G98" s="17"/>
      <c r="H98" s="17"/>
    </row>
    <row r="99" spans="1:8" ht="15.75" customHeight="1" x14ac:dyDescent="0.25">
      <c r="A99" s="17"/>
      <c r="B99" s="17"/>
      <c r="C99" s="17"/>
      <c r="D99" s="17"/>
      <c r="E99" s="17"/>
      <c r="F99" s="17"/>
      <c r="G99" s="17"/>
      <c r="H99" s="17"/>
    </row>
    <row r="100" spans="1:8" ht="15.75" customHeight="1" x14ac:dyDescent="0.25">
      <c r="A100" s="17"/>
      <c r="B100" s="17"/>
      <c r="C100" s="17"/>
      <c r="D100" s="17"/>
      <c r="E100" s="17"/>
      <c r="F100" s="17"/>
      <c r="G100" s="17"/>
      <c r="H100" s="17"/>
    </row>
  </sheetData>
  <mergeCells count="19">
    <mergeCell ref="A1:H1"/>
    <mergeCell ref="A2:B2"/>
    <mergeCell ref="C2:D2"/>
    <mergeCell ref="E2:F2"/>
    <mergeCell ref="G2:H2"/>
    <mergeCell ref="A5:H5"/>
    <mergeCell ref="A32:D32"/>
    <mergeCell ref="A33:D33"/>
    <mergeCell ref="A34:D34"/>
    <mergeCell ref="C3:D3"/>
    <mergeCell ref="A17:D17"/>
    <mergeCell ref="A18:D18"/>
    <mergeCell ref="A19:D19"/>
    <mergeCell ref="A21:H21"/>
    <mergeCell ref="A29:D29"/>
    <mergeCell ref="A31:H31"/>
    <mergeCell ref="E3:F3"/>
    <mergeCell ref="G3:H3"/>
    <mergeCell ref="A3:B3"/>
  </mergeCells>
  <pageMargins left="0.75" right="0.75" top="1" bottom="1" header="0" footer="0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2E86AB"/>
  </sheetPr>
  <dimension ref="A1:H100"/>
  <sheetViews>
    <sheetView workbookViewId="0">
      <selection sqref="A1:H1"/>
    </sheetView>
  </sheetViews>
  <sheetFormatPr defaultColWidth="14.42578125" defaultRowHeight="15" customHeight="1" x14ac:dyDescent="0.25"/>
  <cols>
    <col min="1" max="1" width="10" customWidth="1"/>
    <col min="2" max="2" width="26" customWidth="1"/>
    <col min="3" max="7" width="16" customWidth="1"/>
    <col min="8" max="8" width="20" customWidth="1"/>
  </cols>
  <sheetData>
    <row r="1" spans="1:8" ht="27.75" customHeight="1" x14ac:dyDescent="0.25">
      <c r="A1" s="163" t="s">
        <v>251</v>
      </c>
      <c r="B1" s="146"/>
      <c r="C1" s="146"/>
      <c r="D1" s="146"/>
      <c r="E1" s="146"/>
      <c r="F1" s="146"/>
      <c r="G1" s="146"/>
      <c r="H1" s="147"/>
    </row>
    <row r="2" spans="1:8" ht="18" customHeight="1" x14ac:dyDescent="0.25">
      <c r="A2" s="164" t="s">
        <v>34</v>
      </c>
      <c r="B2" s="147"/>
      <c r="C2" s="164" t="s">
        <v>35</v>
      </c>
      <c r="D2" s="147"/>
      <c r="E2" s="164" t="s">
        <v>36</v>
      </c>
      <c r="F2" s="147"/>
      <c r="G2" s="164" t="s">
        <v>37</v>
      </c>
      <c r="H2" s="147"/>
    </row>
    <row r="3" spans="1:8" ht="21.75" customHeight="1" x14ac:dyDescent="0.25">
      <c r="A3" s="162">
        <f>E29</f>
        <v>4275</v>
      </c>
      <c r="B3" s="147"/>
      <c r="C3" s="154">
        <f>E19</f>
        <v>3080</v>
      </c>
      <c r="D3" s="147"/>
      <c r="E3" s="160">
        <f>E29-E19</f>
        <v>1195</v>
      </c>
      <c r="F3" s="147"/>
      <c r="G3" s="161">
        <f>IF(E29&gt;0,(E29-E19)/E29,0)</f>
        <v>0.27953216374269008</v>
      </c>
      <c r="H3" s="147"/>
    </row>
    <row r="4" spans="1:8" ht="14.25" customHeight="1" x14ac:dyDescent="0.25">
      <c r="A4" s="17"/>
      <c r="B4" s="17"/>
      <c r="C4" s="17"/>
      <c r="D4" s="17"/>
      <c r="E4" s="17"/>
      <c r="F4" s="17"/>
      <c r="G4" s="17"/>
      <c r="H4" s="17"/>
    </row>
    <row r="5" spans="1:8" ht="19.5" customHeight="1" x14ac:dyDescent="0.25">
      <c r="A5" s="150" t="s">
        <v>252</v>
      </c>
      <c r="B5" s="146"/>
      <c r="C5" s="146"/>
      <c r="D5" s="146"/>
      <c r="E5" s="146"/>
      <c r="F5" s="146"/>
      <c r="G5" s="146"/>
      <c r="H5" s="147"/>
    </row>
    <row r="6" spans="1:8" ht="15" customHeight="1" x14ac:dyDescent="0.25">
      <c r="A6" s="36" t="s">
        <v>22</v>
      </c>
      <c r="B6" s="36" t="s">
        <v>39</v>
      </c>
      <c r="C6" s="36" t="s">
        <v>40</v>
      </c>
      <c r="D6" s="36" t="s">
        <v>41</v>
      </c>
      <c r="E6" s="36" t="s">
        <v>42</v>
      </c>
      <c r="F6" s="36" t="s">
        <v>43</v>
      </c>
      <c r="G6" s="36" t="s">
        <v>44</v>
      </c>
      <c r="H6" s="36"/>
    </row>
    <row r="7" spans="1:8" ht="15" customHeight="1" x14ac:dyDescent="0.25">
      <c r="A7" s="37" t="s">
        <v>253</v>
      </c>
      <c r="B7" s="38" t="s">
        <v>46</v>
      </c>
      <c r="C7" s="37" t="s">
        <v>167</v>
      </c>
      <c r="D7" s="37" t="s">
        <v>48</v>
      </c>
      <c r="E7" s="39">
        <v>86</v>
      </c>
      <c r="F7" s="37"/>
      <c r="G7" s="37"/>
      <c r="H7" s="37"/>
    </row>
    <row r="8" spans="1:8" ht="15" customHeight="1" x14ac:dyDescent="0.25">
      <c r="A8" s="40" t="s">
        <v>253</v>
      </c>
      <c r="B8" s="41" t="s">
        <v>49</v>
      </c>
      <c r="C8" s="40"/>
      <c r="D8" s="40" t="s">
        <v>50</v>
      </c>
      <c r="E8" s="42">
        <v>216</v>
      </c>
      <c r="F8" s="40"/>
      <c r="G8" s="40"/>
      <c r="H8" s="40"/>
    </row>
    <row r="9" spans="1:8" ht="15" customHeight="1" x14ac:dyDescent="0.25">
      <c r="A9" s="37" t="s">
        <v>253</v>
      </c>
      <c r="B9" s="38" t="s">
        <v>51</v>
      </c>
      <c r="C9" s="37"/>
      <c r="D9" s="37" t="s">
        <v>50</v>
      </c>
      <c r="E9" s="39">
        <v>230</v>
      </c>
      <c r="F9" s="37"/>
      <c r="G9" s="37"/>
      <c r="H9" s="37"/>
    </row>
    <row r="10" spans="1:8" ht="15" customHeight="1" x14ac:dyDescent="0.25">
      <c r="A10" s="40" t="s">
        <v>253</v>
      </c>
      <c r="B10" s="41" t="s">
        <v>52</v>
      </c>
      <c r="C10" s="40"/>
      <c r="D10" s="40" t="s">
        <v>50</v>
      </c>
      <c r="E10" s="42">
        <v>95</v>
      </c>
      <c r="F10" s="40"/>
      <c r="G10" s="40"/>
      <c r="H10" s="40"/>
    </row>
    <row r="11" spans="1:8" ht="15" customHeight="1" x14ac:dyDescent="0.25">
      <c r="A11" s="37" t="s">
        <v>253</v>
      </c>
      <c r="B11" s="38" t="s">
        <v>53</v>
      </c>
      <c r="C11" s="37"/>
      <c r="D11" s="37" t="s">
        <v>50</v>
      </c>
      <c r="E11" s="39">
        <v>120</v>
      </c>
      <c r="F11" s="37"/>
      <c r="G11" s="37"/>
      <c r="H11" s="37"/>
    </row>
    <row r="12" spans="1:8" ht="15" customHeight="1" x14ac:dyDescent="0.25">
      <c r="A12" s="40" t="s">
        <v>253</v>
      </c>
      <c r="B12" s="41" t="s">
        <v>54</v>
      </c>
      <c r="C12" s="40"/>
      <c r="D12" s="40" t="s">
        <v>50</v>
      </c>
      <c r="E12" s="42">
        <v>288</v>
      </c>
      <c r="F12" s="40"/>
      <c r="G12" s="40"/>
      <c r="H12" s="40"/>
    </row>
    <row r="13" spans="1:8" ht="15" customHeight="1" x14ac:dyDescent="0.25">
      <c r="A13" s="37" t="s">
        <v>253</v>
      </c>
      <c r="B13" s="38" t="s">
        <v>55</v>
      </c>
      <c r="C13" s="37"/>
      <c r="D13" s="37" t="s">
        <v>50</v>
      </c>
      <c r="E13" s="39">
        <v>135</v>
      </c>
      <c r="F13" s="37"/>
      <c r="G13" s="37"/>
      <c r="H13" s="37"/>
    </row>
    <row r="14" spans="1:8" ht="15" customHeight="1" x14ac:dyDescent="0.25">
      <c r="A14" s="40" t="s">
        <v>253</v>
      </c>
      <c r="B14" s="40" t="s">
        <v>126</v>
      </c>
      <c r="C14" s="31"/>
      <c r="D14" s="40" t="s">
        <v>50</v>
      </c>
      <c r="E14" s="107">
        <f>'💳 Empréstimo'!F35</f>
        <v>560</v>
      </c>
      <c r="F14" s="31"/>
      <c r="G14" s="40" t="s">
        <v>254</v>
      </c>
      <c r="H14" s="31"/>
    </row>
    <row r="15" spans="1:8" ht="15" customHeight="1" x14ac:dyDescent="0.25">
      <c r="A15" s="31"/>
      <c r="B15" s="31"/>
      <c r="C15" s="31"/>
      <c r="D15" s="31"/>
      <c r="E15" s="29"/>
      <c r="F15" s="31"/>
      <c r="G15" s="31"/>
      <c r="H15" s="31"/>
    </row>
    <row r="16" spans="1:8" ht="15" customHeight="1" x14ac:dyDescent="0.25">
      <c r="A16" s="31"/>
      <c r="B16" s="31"/>
      <c r="C16" s="31"/>
      <c r="D16" s="31"/>
      <c r="E16" s="29"/>
      <c r="F16" s="31"/>
      <c r="G16" s="31"/>
      <c r="H16" s="31"/>
    </row>
    <row r="17" spans="1:8" ht="15" customHeight="1" x14ac:dyDescent="0.25">
      <c r="A17" s="155" t="s">
        <v>56</v>
      </c>
      <c r="B17" s="152"/>
      <c r="C17" s="152"/>
      <c r="D17" s="153"/>
      <c r="E17" s="43">
        <f>SUM(E7:E16)</f>
        <v>1730</v>
      </c>
      <c r="F17" s="44"/>
      <c r="G17" s="44"/>
      <c r="H17" s="44"/>
    </row>
    <row r="18" spans="1:8" ht="15" customHeight="1" x14ac:dyDescent="0.25">
      <c r="A18" s="156" t="s">
        <v>57</v>
      </c>
      <c r="B18" s="152"/>
      <c r="C18" s="152"/>
      <c r="D18" s="153"/>
      <c r="E18" s="45">
        <v>1350</v>
      </c>
      <c r="F18" s="44"/>
      <c r="G18" s="44"/>
      <c r="H18" s="44"/>
    </row>
    <row r="19" spans="1:8" ht="15" customHeight="1" x14ac:dyDescent="0.25">
      <c r="A19" s="157" t="s">
        <v>58</v>
      </c>
      <c r="B19" s="152"/>
      <c r="C19" s="152"/>
      <c r="D19" s="153"/>
      <c r="E19" s="46">
        <f>E17+E18</f>
        <v>3080</v>
      </c>
      <c r="F19" s="47"/>
      <c r="G19" s="47"/>
      <c r="H19" s="47"/>
    </row>
    <row r="20" spans="1:8" ht="14.25" customHeight="1" x14ac:dyDescent="0.25">
      <c r="A20" s="17"/>
      <c r="B20" s="17"/>
      <c r="C20" s="17"/>
      <c r="D20" s="17"/>
      <c r="E20" s="17"/>
      <c r="F20" s="17"/>
      <c r="G20" s="17"/>
      <c r="H20" s="17"/>
    </row>
    <row r="21" spans="1:8" ht="19.5" customHeight="1" x14ac:dyDescent="0.25">
      <c r="A21" s="158" t="s">
        <v>255</v>
      </c>
      <c r="B21" s="146"/>
      <c r="C21" s="146"/>
      <c r="D21" s="146"/>
      <c r="E21" s="146"/>
      <c r="F21" s="146"/>
      <c r="G21" s="146"/>
      <c r="H21" s="147"/>
    </row>
    <row r="22" spans="1:8" ht="15" customHeight="1" x14ac:dyDescent="0.25">
      <c r="A22" s="48" t="s">
        <v>22</v>
      </c>
      <c r="B22" s="48" t="s">
        <v>39</v>
      </c>
      <c r="C22" s="48" t="s">
        <v>40</v>
      </c>
      <c r="D22" s="48" t="s">
        <v>41</v>
      </c>
      <c r="E22" s="48" t="s">
        <v>42</v>
      </c>
      <c r="F22" s="48" t="s">
        <v>60</v>
      </c>
      <c r="G22" s="48" t="s">
        <v>44</v>
      </c>
      <c r="H22" s="48"/>
    </row>
    <row r="23" spans="1:8" ht="15" customHeight="1" x14ac:dyDescent="0.25">
      <c r="A23" s="49" t="s">
        <v>253</v>
      </c>
      <c r="B23" s="50" t="s">
        <v>61</v>
      </c>
      <c r="C23" s="49" t="s">
        <v>62</v>
      </c>
      <c r="D23" s="49" t="s">
        <v>50</v>
      </c>
      <c r="E23" s="51">
        <v>1475</v>
      </c>
      <c r="F23" s="49"/>
      <c r="G23" s="49"/>
      <c r="H23" s="49"/>
    </row>
    <row r="24" spans="1:8" ht="15" customHeight="1" x14ac:dyDescent="0.25">
      <c r="A24" s="52" t="s">
        <v>253</v>
      </c>
      <c r="B24" s="53" t="s">
        <v>63</v>
      </c>
      <c r="C24" s="52" t="s">
        <v>62</v>
      </c>
      <c r="D24" s="52" t="s">
        <v>50</v>
      </c>
      <c r="E24" s="54">
        <v>1300</v>
      </c>
      <c r="F24" s="52"/>
      <c r="G24" s="52"/>
      <c r="H24" s="52"/>
    </row>
    <row r="25" spans="1:8" ht="15" customHeight="1" x14ac:dyDescent="0.25">
      <c r="A25" s="49" t="s">
        <v>253</v>
      </c>
      <c r="B25" s="50" t="s">
        <v>64</v>
      </c>
      <c r="C25" s="49" t="s">
        <v>62</v>
      </c>
      <c r="D25" s="49" t="s">
        <v>50</v>
      </c>
      <c r="E25" s="51">
        <v>1500</v>
      </c>
      <c r="F25" s="49"/>
      <c r="G25" s="49"/>
      <c r="H25" s="49"/>
    </row>
    <row r="26" spans="1:8" ht="15" customHeight="1" x14ac:dyDescent="0.25">
      <c r="A26" s="52"/>
      <c r="B26" s="53"/>
      <c r="C26" s="52"/>
      <c r="D26" s="52"/>
      <c r="E26" s="54"/>
      <c r="F26" s="52"/>
      <c r="G26" s="52"/>
      <c r="H26" s="52"/>
    </row>
    <row r="27" spans="1:8" ht="15" customHeight="1" x14ac:dyDescent="0.25">
      <c r="A27" s="55"/>
      <c r="B27" s="55"/>
      <c r="C27" s="55"/>
      <c r="D27" s="55"/>
      <c r="E27" s="56"/>
      <c r="F27" s="55"/>
      <c r="G27" s="55"/>
      <c r="H27" s="55"/>
    </row>
    <row r="28" spans="1:8" ht="15" customHeight="1" x14ac:dyDescent="0.25">
      <c r="A28" s="55"/>
      <c r="B28" s="55"/>
      <c r="C28" s="55"/>
      <c r="D28" s="55"/>
      <c r="E28" s="56"/>
      <c r="F28" s="55"/>
      <c r="G28" s="55"/>
      <c r="H28" s="55"/>
    </row>
    <row r="29" spans="1:8" ht="15" customHeight="1" x14ac:dyDescent="0.25">
      <c r="A29" s="157" t="s">
        <v>66</v>
      </c>
      <c r="B29" s="152"/>
      <c r="C29" s="152"/>
      <c r="D29" s="153"/>
      <c r="E29" s="46">
        <f>SUM(E23:E28)</f>
        <v>4275</v>
      </c>
      <c r="F29" s="47"/>
      <c r="G29" s="47"/>
      <c r="H29" s="47"/>
    </row>
    <row r="30" spans="1:8" ht="15.75" customHeight="1" x14ac:dyDescent="0.25">
      <c r="A30" s="17"/>
      <c r="B30" s="17"/>
      <c r="C30" s="17"/>
      <c r="D30" s="17"/>
      <c r="E30" s="17"/>
      <c r="F30" s="17"/>
      <c r="G30" s="17"/>
      <c r="H30" s="17"/>
    </row>
    <row r="31" spans="1:8" ht="19.5" customHeight="1" x14ac:dyDescent="0.25">
      <c r="A31" s="159" t="s">
        <v>67</v>
      </c>
      <c r="B31" s="146"/>
      <c r="C31" s="146"/>
      <c r="D31" s="146"/>
      <c r="E31" s="146"/>
      <c r="F31" s="146"/>
      <c r="G31" s="146"/>
      <c r="H31" s="147"/>
    </row>
    <row r="32" spans="1:8" ht="15" customHeight="1" x14ac:dyDescent="0.25">
      <c r="A32" s="151" t="s">
        <v>68</v>
      </c>
      <c r="B32" s="152"/>
      <c r="C32" s="152"/>
      <c r="D32" s="153"/>
      <c r="E32" s="57">
        <f>E29-E19</f>
        <v>1195</v>
      </c>
      <c r="F32" s="58"/>
      <c r="G32" s="58"/>
      <c r="H32" s="58"/>
    </row>
    <row r="33" spans="1:8" ht="15" customHeight="1" x14ac:dyDescent="0.25">
      <c r="A33" s="151" t="s">
        <v>76</v>
      </c>
      <c r="B33" s="152"/>
      <c r="C33" s="152"/>
      <c r="D33" s="153"/>
      <c r="E33" s="57">
        <f>0.7*(E29-E19)</f>
        <v>836.5</v>
      </c>
      <c r="F33" s="58"/>
      <c r="G33" s="58"/>
      <c r="H33" s="58"/>
    </row>
    <row r="34" spans="1:8" ht="15" customHeight="1" x14ac:dyDescent="0.25">
      <c r="A34" s="151" t="s">
        <v>70</v>
      </c>
      <c r="B34" s="152"/>
      <c r="C34" s="152"/>
      <c r="D34" s="153"/>
      <c r="E34" s="57">
        <f>E19/6</f>
        <v>513.33333333333337</v>
      </c>
      <c r="F34" s="58"/>
      <c r="G34" s="58"/>
      <c r="H34" s="58"/>
    </row>
    <row r="35" spans="1:8" ht="15.75" customHeight="1" x14ac:dyDescent="0.25">
      <c r="A35" s="17"/>
      <c r="B35" s="17"/>
      <c r="C35" s="17"/>
      <c r="D35" s="17"/>
      <c r="E35" s="17"/>
      <c r="F35" s="17"/>
      <c r="G35" s="17"/>
      <c r="H35" s="17"/>
    </row>
    <row r="36" spans="1:8" ht="15.75" customHeight="1" x14ac:dyDescent="0.25">
      <c r="A36" s="17"/>
      <c r="B36" s="17"/>
      <c r="C36" s="17"/>
      <c r="D36" s="17"/>
      <c r="E36" s="17"/>
      <c r="F36" s="17"/>
      <c r="G36" s="17"/>
      <c r="H36" s="17"/>
    </row>
    <row r="37" spans="1:8" ht="15.75" customHeight="1" x14ac:dyDescent="0.25">
      <c r="A37" s="17"/>
      <c r="B37" s="17"/>
      <c r="C37" s="17"/>
      <c r="D37" s="17"/>
      <c r="E37" s="17"/>
      <c r="F37" s="17"/>
      <c r="G37" s="17"/>
      <c r="H37" s="17"/>
    </row>
    <row r="38" spans="1:8" ht="15.75" customHeight="1" x14ac:dyDescent="0.25">
      <c r="A38" s="17"/>
      <c r="B38" s="17"/>
      <c r="C38" s="17"/>
      <c r="D38" s="17"/>
      <c r="E38" s="17"/>
      <c r="F38" s="17"/>
      <c r="G38" s="17"/>
      <c r="H38" s="17"/>
    </row>
    <row r="39" spans="1:8" ht="15.75" customHeight="1" x14ac:dyDescent="0.25">
      <c r="A39" s="17"/>
      <c r="B39" s="17"/>
      <c r="C39" s="17"/>
      <c r="D39" s="17"/>
      <c r="E39" s="17"/>
      <c r="F39" s="17"/>
      <c r="G39" s="17"/>
      <c r="H39" s="17"/>
    </row>
    <row r="40" spans="1:8" ht="15.75" customHeight="1" x14ac:dyDescent="0.25">
      <c r="A40" s="17"/>
      <c r="B40" s="17"/>
      <c r="C40" s="17"/>
      <c r="D40" s="17"/>
      <c r="E40" s="17"/>
      <c r="F40" s="17"/>
      <c r="G40" s="17"/>
      <c r="H40" s="17"/>
    </row>
    <row r="41" spans="1:8" ht="15.75" customHeight="1" x14ac:dyDescent="0.25">
      <c r="A41" s="17"/>
      <c r="B41" s="17"/>
      <c r="C41" s="17"/>
      <c r="D41" s="17"/>
      <c r="E41" s="17"/>
      <c r="F41" s="17"/>
      <c r="G41" s="17"/>
      <c r="H41" s="17"/>
    </row>
    <row r="42" spans="1:8" ht="15.75" customHeight="1" x14ac:dyDescent="0.25">
      <c r="A42" s="17"/>
      <c r="B42" s="17"/>
      <c r="C42" s="17"/>
      <c r="D42" s="17"/>
      <c r="E42" s="17"/>
      <c r="F42" s="17"/>
      <c r="G42" s="17"/>
      <c r="H42" s="17"/>
    </row>
    <row r="43" spans="1:8" ht="15.75" customHeight="1" x14ac:dyDescent="0.25">
      <c r="A43" s="17"/>
      <c r="B43" s="17"/>
      <c r="C43" s="17"/>
      <c r="D43" s="17"/>
      <c r="E43" s="17"/>
      <c r="F43" s="17"/>
      <c r="G43" s="17"/>
      <c r="H43" s="17"/>
    </row>
    <row r="44" spans="1:8" ht="15.75" customHeight="1" x14ac:dyDescent="0.25">
      <c r="A44" s="17"/>
      <c r="B44" s="17"/>
      <c r="C44" s="17"/>
      <c r="D44" s="17"/>
      <c r="E44" s="17"/>
      <c r="F44" s="17"/>
      <c r="G44" s="17"/>
      <c r="H44" s="17"/>
    </row>
    <row r="45" spans="1:8" ht="15.75" customHeight="1" x14ac:dyDescent="0.25">
      <c r="A45" s="17"/>
      <c r="B45" s="17"/>
      <c r="C45" s="17"/>
      <c r="D45" s="17"/>
      <c r="E45" s="17"/>
      <c r="F45" s="17"/>
      <c r="G45" s="17"/>
      <c r="H45" s="17"/>
    </row>
    <row r="46" spans="1:8" ht="15.75" customHeight="1" x14ac:dyDescent="0.25">
      <c r="A46" s="17"/>
      <c r="B46" s="17"/>
      <c r="C46" s="17"/>
      <c r="D46" s="17"/>
      <c r="E46" s="17"/>
      <c r="F46" s="17"/>
      <c r="G46" s="17"/>
      <c r="H46" s="17"/>
    </row>
    <row r="47" spans="1:8" ht="15.75" customHeight="1" x14ac:dyDescent="0.25">
      <c r="A47" s="17"/>
      <c r="B47" s="17"/>
      <c r="C47" s="17"/>
      <c r="D47" s="17"/>
      <c r="E47" s="17"/>
      <c r="F47" s="17"/>
      <c r="G47" s="17"/>
      <c r="H47" s="17"/>
    </row>
    <row r="48" spans="1:8" ht="15.75" customHeight="1" x14ac:dyDescent="0.25">
      <c r="A48" s="17"/>
      <c r="B48" s="17"/>
      <c r="C48" s="17"/>
      <c r="D48" s="17"/>
      <c r="E48" s="17"/>
      <c r="F48" s="17"/>
      <c r="G48" s="17"/>
      <c r="H48" s="17"/>
    </row>
    <row r="49" spans="1:8" ht="15.75" customHeight="1" x14ac:dyDescent="0.25">
      <c r="A49" s="17"/>
      <c r="B49" s="17"/>
      <c r="C49" s="17"/>
      <c r="D49" s="17"/>
      <c r="E49" s="17"/>
      <c r="F49" s="17"/>
      <c r="G49" s="17"/>
      <c r="H49" s="17"/>
    </row>
    <row r="50" spans="1:8" ht="15.75" customHeight="1" x14ac:dyDescent="0.25">
      <c r="A50" s="17"/>
      <c r="B50" s="17"/>
      <c r="C50" s="17"/>
      <c r="D50" s="17"/>
      <c r="E50" s="17"/>
      <c r="F50" s="17"/>
      <c r="G50" s="17"/>
      <c r="H50" s="17"/>
    </row>
    <row r="51" spans="1:8" ht="15.75" customHeight="1" x14ac:dyDescent="0.25">
      <c r="A51" s="17"/>
      <c r="B51" s="17"/>
      <c r="C51" s="17"/>
      <c r="D51" s="17"/>
      <c r="E51" s="17"/>
      <c r="F51" s="17"/>
      <c r="G51" s="17"/>
      <c r="H51" s="17"/>
    </row>
    <row r="52" spans="1:8" ht="15.75" customHeight="1" x14ac:dyDescent="0.25">
      <c r="A52" s="17"/>
      <c r="B52" s="17"/>
      <c r="C52" s="17"/>
      <c r="D52" s="17"/>
      <c r="E52" s="17"/>
      <c r="F52" s="17"/>
      <c r="G52" s="17"/>
      <c r="H52" s="17"/>
    </row>
    <row r="53" spans="1:8" ht="15.75" customHeight="1" x14ac:dyDescent="0.25">
      <c r="A53" s="17"/>
      <c r="B53" s="17"/>
      <c r="C53" s="17"/>
      <c r="D53" s="17"/>
      <c r="E53" s="17"/>
      <c r="F53" s="17"/>
      <c r="G53" s="17"/>
      <c r="H53" s="17"/>
    </row>
    <row r="54" spans="1:8" ht="15.75" customHeight="1" x14ac:dyDescent="0.25">
      <c r="A54" s="17"/>
      <c r="B54" s="17"/>
      <c r="C54" s="17"/>
      <c r="D54" s="17"/>
      <c r="E54" s="17"/>
      <c r="F54" s="17"/>
      <c r="G54" s="17"/>
      <c r="H54" s="17"/>
    </row>
    <row r="55" spans="1:8" ht="15.75" customHeight="1" x14ac:dyDescent="0.25">
      <c r="A55" s="17"/>
      <c r="B55" s="17"/>
      <c r="C55" s="17"/>
      <c r="D55" s="17"/>
      <c r="E55" s="17"/>
      <c r="F55" s="17"/>
      <c r="G55" s="17"/>
      <c r="H55" s="17"/>
    </row>
    <row r="56" spans="1:8" ht="15.75" customHeight="1" x14ac:dyDescent="0.25">
      <c r="A56" s="17"/>
      <c r="B56" s="17"/>
      <c r="C56" s="17"/>
      <c r="D56" s="17"/>
      <c r="E56" s="17"/>
      <c r="F56" s="17"/>
      <c r="G56" s="17"/>
      <c r="H56" s="17"/>
    </row>
    <row r="57" spans="1:8" ht="15.75" customHeight="1" x14ac:dyDescent="0.25">
      <c r="A57" s="17"/>
      <c r="B57" s="17"/>
      <c r="C57" s="17"/>
      <c r="D57" s="17"/>
      <c r="E57" s="17"/>
      <c r="F57" s="17"/>
      <c r="G57" s="17"/>
      <c r="H57" s="17"/>
    </row>
    <row r="58" spans="1:8" ht="15.75" customHeight="1" x14ac:dyDescent="0.25">
      <c r="A58" s="17"/>
      <c r="B58" s="17"/>
      <c r="C58" s="17"/>
      <c r="D58" s="17"/>
      <c r="E58" s="17"/>
      <c r="F58" s="17"/>
      <c r="G58" s="17"/>
      <c r="H58" s="17"/>
    </row>
    <row r="59" spans="1:8" ht="15.75" customHeight="1" x14ac:dyDescent="0.25">
      <c r="A59" s="17"/>
      <c r="B59" s="17"/>
      <c r="C59" s="17"/>
      <c r="D59" s="17"/>
      <c r="E59" s="17"/>
      <c r="F59" s="17"/>
      <c r="G59" s="17"/>
      <c r="H59" s="17"/>
    </row>
    <row r="60" spans="1:8" ht="15.75" customHeight="1" x14ac:dyDescent="0.25">
      <c r="A60" s="17"/>
      <c r="B60" s="17"/>
      <c r="C60" s="17"/>
      <c r="D60" s="17"/>
      <c r="E60" s="17"/>
      <c r="F60" s="17"/>
      <c r="G60" s="17"/>
      <c r="H60" s="17"/>
    </row>
    <row r="61" spans="1:8" ht="15.75" customHeight="1" x14ac:dyDescent="0.25">
      <c r="A61" s="17"/>
      <c r="B61" s="17"/>
      <c r="C61" s="17"/>
      <c r="D61" s="17"/>
      <c r="E61" s="17"/>
      <c r="F61" s="17"/>
      <c r="G61" s="17"/>
      <c r="H61" s="17"/>
    </row>
    <row r="62" spans="1:8" ht="15.75" customHeight="1" x14ac:dyDescent="0.25">
      <c r="A62" s="17"/>
      <c r="B62" s="17"/>
      <c r="C62" s="17"/>
      <c r="D62" s="17"/>
      <c r="E62" s="17"/>
      <c r="F62" s="17"/>
      <c r="G62" s="17"/>
      <c r="H62" s="17"/>
    </row>
    <row r="63" spans="1:8" ht="15.75" customHeight="1" x14ac:dyDescent="0.25">
      <c r="A63" s="17"/>
      <c r="B63" s="17"/>
      <c r="C63" s="17"/>
      <c r="D63" s="17"/>
      <c r="E63" s="17"/>
      <c r="F63" s="17"/>
      <c r="G63" s="17"/>
      <c r="H63" s="17"/>
    </row>
    <row r="64" spans="1:8" ht="15.75" customHeight="1" x14ac:dyDescent="0.25">
      <c r="A64" s="17"/>
      <c r="B64" s="17"/>
      <c r="C64" s="17"/>
      <c r="D64" s="17"/>
      <c r="E64" s="17"/>
      <c r="F64" s="17"/>
      <c r="G64" s="17"/>
      <c r="H64" s="17"/>
    </row>
    <row r="65" spans="1:8" ht="15.75" customHeight="1" x14ac:dyDescent="0.25">
      <c r="A65" s="17"/>
      <c r="B65" s="17"/>
      <c r="C65" s="17"/>
      <c r="D65" s="17"/>
      <c r="E65" s="17"/>
      <c r="F65" s="17"/>
      <c r="G65" s="17"/>
      <c r="H65" s="17"/>
    </row>
    <row r="66" spans="1:8" ht="15.75" customHeight="1" x14ac:dyDescent="0.25">
      <c r="A66" s="17"/>
      <c r="B66" s="17"/>
      <c r="C66" s="17"/>
      <c r="D66" s="17"/>
      <c r="E66" s="17"/>
      <c r="F66" s="17"/>
      <c r="G66" s="17"/>
      <c r="H66" s="17"/>
    </row>
    <row r="67" spans="1:8" ht="15.75" customHeight="1" x14ac:dyDescent="0.25">
      <c r="A67" s="17"/>
      <c r="B67" s="17"/>
      <c r="C67" s="17"/>
      <c r="D67" s="17"/>
      <c r="E67" s="17"/>
      <c r="F67" s="17"/>
      <c r="G67" s="17"/>
      <c r="H67" s="17"/>
    </row>
    <row r="68" spans="1:8" ht="15.75" customHeight="1" x14ac:dyDescent="0.25">
      <c r="A68" s="17"/>
      <c r="B68" s="17"/>
      <c r="C68" s="17"/>
      <c r="D68" s="17"/>
      <c r="E68" s="17"/>
      <c r="F68" s="17"/>
      <c r="G68" s="17"/>
      <c r="H68" s="17"/>
    </row>
    <row r="69" spans="1:8" ht="15.75" customHeight="1" x14ac:dyDescent="0.25">
      <c r="A69" s="17"/>
      <c r="B69" s="17"/>
      <c r="C69" s="17"/>
      <c r="D69" s="17"/>
      <c r="E69" s="17"/>
      <c r="F69" s="17"/>
      <c r="G69" s="17"/>
      <c r="H69" s="17"/>
    </row>
    <row r="70" spans="1:8" ht="15.75" customHeight="1" x14ac:dyDescent="0.25">
      <c r="A70" s="17"/>
      <c r="B70" s="17"/>
      <c r="C70" s="17"/>
      <c r="D70" s="17"/>
      <c r="E70" s="17"/>
      <c r="F70" s="17"/>
      <c r="G70" s="17"/>
      <c r="H70" s="17"/>
    </row>
    <row r="71" spans="1:8" ht="15.75" customHeight="1" x14ac:dyDescent="0.25">
      <c r="A71" s="17"/>
      <c r="B71" s="17"/>
      <c r="C71" s="17"/>
      <c r="D71" s="17"/>
      <c r="E71" s="17"/>
      <c r="F71" s="17"/>
      <c r="G71" s="17"/>
      <c r="H71" s="17"/>
    </row>
    <row r="72" spans="1:8" ht="15.75" customHeight="1" x14ac:dyDescent="0.25">
      <c r="A72" s="17"/>
      <c r="B72" s="17"/>
      <c r="C72" s="17"/>
      <c r="D72" s="17"/>
      <c r="E72" s="17"/>
      <c r="F72" s="17"/>
      <c r="G72" s="17"/>
      <c r="H72" s="17"/>
    </row>
    <row r="73" spans="1:8" ht="15.75" customHeight="1" x14ac:dyDescent="0.25">
      <c r="A73" s="17"/>
      <c r="B73" s="17"/>
      <c r="C73" s="17"/>
      <c r="D73" s="17"/>
      <c r="E73" s="17"/>
      <c r="F73" s="17"/>
      <c r="G73" s="17"/>
      <c r="H73" s="17"/>
    </row>
    <row r="74" spans="1:8" ht="15.75" customHeight="1" x14ac:dyDescent="0.25">
      <c r="A74" s="17"/>
      <c r="B74" s="17"/>
      <c r="C74" s="17"/>
      <c r="D74" s="17"/>
      <c r="E74" s="17"/>
      <c r="F74" s="17"/>
      <c r="G74" s="17"/>
      <c r="H74" s="17"/>
    </row>
    <row r="75" spans="1:8" ht="15.75" customHeight="1" x14ac:dyDescent="0.25">
      <c r="A75" s="17"/>
      <c r="B75" s="17"/>
      <c r="C75" s="17"/>
      <c r="D75" s="17"/>
      <c r="E75" s="17"/>
      <c r="F75" s="17"/>
      <c r="G75" s="17"/>
      <c r="H75" s="17"/>
    </row>
    <row r="76" spans="1:8" ht="15.75" customHeight="1" x14ac:dyDescent="0.25">
      <c r="A76" s="17"/>
      <c r="B76" s="17"/>
      <c r="C76" s="17"/>
      <c r="D76" s="17"/>
      <c r="E76" s="17"/>
      <c r="F76" s="17"/>
      <c r="G76" s="17"/>
      <c r="H76" s="17"/>
    </row>
    <row r="77" spans="1:8" ht="15.75" customHeight="1" x14ac:dyDescent="0.25">
      <c r="A77" s="17"/>
      <c r="B77" s="17"/>
      <c r="C77" s="17"/>
      <c r="D77" s="17"/>
      <c r="E77" s="17"/>
      <c r="F77" s="17"/>
      <c r="G77" s="17"/>
      <c r="H77" s="17"/>
    </row>
    <row r="78" spans="1:8" ht="15.75" customHeight="1" x14ac:dyDescent="0.25">
      <c r="A78" s="17"/>
      <c r="B78" s="17"/>
      <c r="C78" s="17"/>
      <c r="D78" s="17"/>
      <c r="E78" s="17"/>
      <c r="F78" s="17"/>
      <c r="G78" s="17"/>
      <c r="H78" s="17"/>
    </row>
    <row r="79" spans="1:8" ht="15.75" customHeight="1" x14ac:dyDescent="0.25">
      <c r="A79" s="17"/>
      <c r="B79" s="17"/>
      <c r="C79" s="17"/>
      <c r="D79" s="17"/>
      <c r="E79" s="17"/>
      <c r="F79" s="17"/>
      <c r="G79" s="17"/>
      <c r="H79" s="17"/>
    </row>
    <row r="80" spans="1:8" ht="15.75" customHeight="1" x14ac:dyDescent="0.25">
      <c r="A80" s="17"/>
      <c r="B80" s="17"/>
      <c r="C80" s="17"/>
      <c r="D80" s="17"/>
      <c r="E80" s="17"/>
      <c r="F80" s="17"/>
      <c r="G80" s="17"/>
      <c r="H80" s="17"/>
    </row>
    <row r="81" spans="1:8" ht="15.75" customHeight="1" x14ac:dyDescent="0.25">
      <c r="A81" s="17"/>
      <c r="B81" s="17"/>
      <c r="C81" s="17"/>
      <c r="D81" s="17"/>
      <c r="E81" s="17"/>
      <c r="F81" s="17"/>
      <c r="G81" s="17"/>
      <c r="H81" s="17"/>
    </row>
    <row r="82" spans="1:8" ht="15.75" customHeight="1" x14ac:dyDescent="0.25">
      <c r="A82" s="17"/>
      <c r="B82" s="17"/>
      <c r="C82" s="17"/>
      <c r="D82" s="17"/>
      <c r="E82" s="17"/>
      <c r="F82" s="17"/>
      <c r="G82" s="17"/>
      <c r="H82" s="17"/>
    </row>
    <row r="83" spans="1:8" ht="15.75" customHeight="1" x14ac:dyDescent="0.25">
      <c r="A83" s="17"/>
      <c r="B83" s="17"/>
      <c r="C83" s="17"/>
      <c r="D83" s="17"/>
      <c r="E83" s="17"/>
      <c r="F83" s="17"/>
      <c r="G83" s="17"/>
      <c r="H83" s="17"/>
    </row>
    <row r="84" spans="1:8" ht="15.75" customHeight="1" x14ac:dyDescent="0.25">
      <c r="A84" s="17"/>
      <c r="B84" s="17"/>
      <c r="C84" s="17"/>
      <c r="D84" s="17"/>
      <c r="E84" s="17"/>
      <c r="F84" s="17"/>
      <c r="G84" s="17"/>
      <c r="H84" s="17"/>
    </row>
    <row r="85" spans="1:8" ht="15.75" customHeight="1" x14ac:dyDescent="0.25">
      <c r="A85" s="17"/>
      <c r="B85" s="17"/>
      <c r="C85" s="17"/>
      <c r="D85" s="17"/>
      <c r="E85" s="17"/>
      <c r="F85" s="17"/>
      <c r="G85" s="17"/>
      <c r="H85" s="17"/>
    </row>
    <row r="86" spans="1:8" ht="15.75" customHeight="1" x14ac:dyDescent="0.25">
      <c r="A86" s="17"/>
      <c r="B86" s="17"/>
      <c r="C86" s="17"/>
      <c r="D86" s="17"/>
      <c r="E86" s="17"/>
      <c r="F86" s="17"/>
      <c r="G86" s="17"/>
      <c r="H86" s="17"/>
    </row>
    <row r="87" spans="1:8" ht="15.75" customHeight="1" x14ac:dyDescent="0.25">
      <c r="A87" s="17"/>
      <c r="B87" s="17"/>
      <c r="C87" s="17"/>
      <c r="D87" s="17"/>
      <c r="E87" s="17"/>
      <c r="F87" s="17"/>
      <c r="G87" s="17"/>
      <c r="H87" s="17"/>
    </row>
    <row r="88" spans="1:8" ht="15.75" customHeight="1" x14ac:dyDescent="0.25">
      <c r="A88" s="17"/>
      <c r="B88" s="17"/>
      <c r="C88" s="17"/>
      <c r="D88" s="17"/>
      <c r="E88" s="17"/>
      <c r="F88" s="17"/>
      <c r="G88" s="17"/>
      <c r="H88" s="17"/>
    </row>
    <row r="89" spans="1:8" ht="15.75" customHeight="1" x14ac:dyDescent="0.25">
      <c r="A89" s="17"/>
      <c r="B89" s="17"/>
      <c r="C89" s="17"/>
      <c r="D89" s="17"/>
      <c r="E89" s="17"/>
      <c r="F89" s="17"/>
      <c r="G89" s="17"/>
      <c r="H89" s="17"/>
    </row>
    <row r="90" spans="1:8" ht="15.75" customHeight="1" x14ac:dyDescent="0.25">
      <c r="A90" s="17"/>
      <c r="B90" s="17"/>
      <c r="C90" s="17"/>
      <c r="D90" s="17"/>
      <c r="E90" s="17"/>
      <c r="F90" s="17"/>
      <c r="G90" s="17"/>
      <c r="H90" s="17"/>
    </row>
    <row r="91" spans="1:8" ht="15.75" customHeight="1" x14ac:dyDescent="0.25">
      <c r="A91" s="17"/>
      <c r="B91" s="17"/>
      <c r="C91" s="17"/>
      <c r="D91" s="17"/>
      <c r="E91" s="17"/>
      <c r="F91" s="17"/>
      <c r="G91" s="17"/>
      <c r="H91" s="17"/>
    </row>
    <row r="92" spans="1:8" ht="15.75" customHeight="1" x14ac:dyDescent="0.25">
      <c r="A92" s="17"/>
      <c r="B92" s="17"/>
      <c r="C92" s="17"/>
      <c r="D92" s="17"/>
      <c r="E92" s="17"/>
      <c r="F92" s="17"/>
      <c r="G92" s="17"/>
      <c r="H92" s="17"/>
    </row>
    <row r="93" spans="1:8" ht="15.75" customHeight="1" x14ac:dyDescent="0.25">
      <c r="A93" s="17"/>
      <c r="B93" s="17"/>
      <c r="C93" s="17"/>
      <c r="D93" s="17"/>
      <c r="E93" s="17"/>
      <c r="F93" s="17"/>
      <c r="G93" s="17"/>
      <c r="H93" s="17"/>
    </row>
    <row r="94" spans="1:8" ht="15.75" customHeight="1" x14ac:dyDescent="0.25">
      <c r="A94" s="17"/>
      <c r="B94" s="17"/>
      <c r="C94" s="17"/>
      <c r="D94" s="17"/>
      <c r="E94" s="17"/>
      <c r="F94" s="17"/>
      <c r="G94" s="17"/>
      <c r="H94" s="17"/>
    </row>
    <row r="95" spans="1:8" ht="15.75" customHeight="1" x14ac:dyDescent="0.25">
      <c r="A95" s="17"/>
      <c r="B95" s="17"/>
      <c r="C95" s="17"/>
      <c r="D95" s="17"/>
      <c r="E95" s="17"/>
      <c r="F95" s="17"/>
      <c r="G95" s="17"/>
      <c r="H95" s="17"/>
    </row>
    <row r="96" spans="1:8" ht="15.75" customHeight="1" x14ac:dyDescent="0.25">
      <c r="A96" s="17"/>
      <c r="B96" s="17"/>
      <c r="C96" s="17"/>
      <c r="D96" s="17"/>
      <c r="E96" s="17"/>
      <c r="F96" s="17"/>
      <c r="G96" s="17"/>
      <c r="H96" s="17"/>
    </row>
    <row r="97" spans="1:8" ht="15.75" customHeight="1" x14ac:dyDescent="0.25">
      <c r="A97" s="17"/>
      <c r="B97" s="17"/>
      <c r="C97" s="17"/>
      <c r="D97" s="17"/>
      <c r="E97" s="17"/>
      <c r="F97" s="17"/>
      <c r="G97" s="17"/>
      <c r="H97" s="17"/>
    </row>
    <row r="98" spans="1:8" ht="15.75" customHeight="1" x14ac:dyDescent="0.25">
      <c r="A98" s="17"/>
      <c r="B98" s="17"/>
      <c r="C98" s="17"/>
      <c r="D98" s="17"/>
      <c r="E98" s="17"/>
      <c r="F98" s="17"/>
      <c r="G98" s="17"/>
      <c r="H98" s="17"/>
    </row>
    <row r="99" spans="1:8" ht="15.75" customHeight="1" x14ac:dyDescent="0.25">
      <c r="A99" s="17"/>
      <c r="B99" s="17"/>
      <c r="C99" s="17"/>
      <c r="D99" s="17"/>
      <c r="E99" s="17"/>
      <c r="F99" s="17"/>
      <c r="G99" s="17"/>
      <c r="H99" s="17"/>
    </row>
    <row r="100" spans="1:8" ht="15.75" customHeight="1" x14ac:dyDescent="0.25">
      <c r="A100" s="17"/>
      <c r="B100" s="17"/>
      <c r="C100" s="17"/>
      <c r="D100" s="17"/>
      <c r="E100" s="17"/>
      <c r="F100" s="17"/>
      <c r="G100" s="17"/>
      <c r="H100" s="17"/>
    </row>
  </sheetData>
  <mergeCells count="19">
    <mergeCell ref="A1:H1"/>
    <mergeCell ref="A2:B2"/>
    <mergeCell ref="C2:D2"/>
    <mergeCell ref="E2:F2"/>
    <mergeCell ref="G2:H2"/>
    <mergeCell ref="A5:H5"/>
    <mergeCell ref="A32:D32"/>
    <mergeCell ref="A33:D33"/>
    <mergeCell ref="A34:D34"/>
    <mergeCell ref="C3:D3"/>
    <mergeCell ref="A17:D17"/>
    <mergeCell ref="A18:D18"/>
    <mergeCell ref="A19:D19"/>
    <mergeCell ref="A21:H21"/>
    <mergeCell ref="A29:D29"/>
    <mergeCell ref="A31:H31"/>
    <mergeCell ref="E3:F3"/>
    <mergeCell ref="G3:H3"/>
    <mergeCell ref="A3:B3"/>
  </mergeCells>
  <pageMargins left="0.75" right="0.75" top="1" bottom="1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2E86AB"/>
  </sheetPr>
  <dimension ref="A1:H100"/>
  <sheetViews>
    <sheetView workbookViewId="0">
      <selection sqref="A1:H1"/>
    </sheetView>
  </sheetViews>
  <sheetFormatPr defaultColWidth="14.42578125" defaultRowHeight="15" customHeight="1" x14ac:dyDescent="0.25"/>
  <cols>
    <col min="1" max="1" width="10" customWidth="1"/>
    <col min="2" max="2" width="26" customWidth="1"/>
    <col min="3" max="7" width="16" customWidth="1"/>
    <col min="8" max="8" width="20" customWidth="1"/>
  </cols>
  <sheetData>
    <row r="1" spans="1:8" ht="27.75" customHeight="1" x14ac:dyDescent="0.25">
      <c r="A1" s="163" t="s">
        <v>256</v>
      </c>
      <c r="B1" s="146"/>
      <c r="C1" s="146"/>
      <c r="D1" s="146"/>
      <c r="E1" s="146"/>
      <c r="F1" s="146"/>
      <c r="G1" s="146"/>
      <c r="H1" s="147"/>
    </row>
    <row r="2" spans="1:8" ht="18" customHeight="1" x14ac:dyDescent="0.25">
      <c r="A2" s="164" t="s">
        <v>34</v>
      </c>
      <c r="B2" s="147"/>
      <c r="C2" s="164" t="s">
        <v>35</v>
      </c>
      <c r="D2" s="147"/>
      <c r="E2" s="164" t="s">
        <v>36</v>
      </c>
      <c r="F2" s="147"/>
      <c r="G2" s="164" t="s">
        <v>37</v>
      </c>
      <c r="H2" s="147"/>
    </row>
    <row r="3" spans="1:8" ht="21.75" customHeight="1" x14ac:dyDescent="0.25">
      <c r="A3" s="162">
        <f>E29</f>
        <v>4275</v>
      </c>
      <c r="B3" s="147"/>
      <c r="C3" s="154">
        <f>E19</f>
        <v>3080</v>
      </c>
      <c r="D3" s="147"/>
      <c r="E3" s="160">
        <f>E29-E19</f>
        <v>1195</v>
      </c>
      <c r="F3" s="147"/>
      <c r="G3" s="161">
        <f>IF(E29&gt;0,(E29-E19)/E29,0)</f>
        <v>0.27953216374269008</v>
      </c>
      <c r="H3" s="147"/>
    </row>
    <row r="4" spans="1:8" ht="14.25" customHeight="1" x14ac:dyDescent="0.25">
      <c r="A4" s="17"/>
      <c r="B4" s="17"/>
      <c r="C4" s="17"/>
      <c r="D4" s="17"/>
      <c r="E4" s="17"/>
      <c r="F4" s="17"/>
      <c r="G4" s="17"/>
      <c r="H4" s="17"/>
    </row>
    <row r="5" spans="1:8" ht="19.5" customHeight="1" x14ac:dyDescent="0.25">
      <c r="A5" s="150" t="s">
        <v>257</v>
      </c>
      <c r="B5" s="146"/>
      <c r="C5" s="146"/>
      <c r="D5" s="146"/>
      <c r="E5" s="146"/>
      <c r="F5" s="146"/>
      <c r="G5" s="146"/>
      <c r="H5" s="147"/>
    </row>
    <row r="6" spans="1:8" ht="15" customHeight="1" x14ac:dyDescent="0.25">
      <c r="A6" s="36" t="s">
        <v>22</v>
      </c>
      <c r="B6" s="36" t="s">
        <v>39</v>
      </c>
      <c r="C6" s="36" t="s">
        <v>40</v>
      </c>
      <c r="D6" s="36" t="s">
        <v>41</v>
      </c>
      <c r="E6" s="36" t="s">
        <v>42</v>
      </c>
      <c r="F6" s="36" t="s">
        <v>43</v>
      </c>
      <c r="G6" s="36" t="s">
        <v>44</v>
      </c>
      <c r="H6" s="36"/>
    </row>
    <row r="7" spans="1:8" ht="15" customHeight="1" x14ac:dyDescent="0.25">
      <c r="A7" s="37" t="s">
        <v>258</v>
      </c>
      <c r="B7" s="38" t="s">
        <v>46</v>
      </c>
      <c r="C7" s="37" t="s">
        <v>167</v>
      </c>
      <c r="D7" s="37" t="s">
        <v>48</v>
      </c>
      <c r="E7" s="39">
        <v>86</v>
      </c>
      <c r="F7" s="37"/>
      <c r="G7" s="37"/>
      <c r="H7" s="37"/>
    </row>
    <row r="8" spans="1:8" ht="15" customHeight="1" x14ac:dyDescent="0.25">
      <c r="A8" s="40" t="s">
        <v>258</v>
      </c>
      <c r="B8" s="41" t="s">
        <v>49</v>
      </c>
      <c r="C8" s="40"/>
      <c r="D8" s="40" t="s">
        <v>50</v>
      </c>
      <c r="E8" s="42">
        <v>216</v>
      </c>
      <c r="F8" s="40"/>
      <c r="G8" s="40"/>
      <c r="H8" s="40"/>
    </row>
    <row r="9" spans="1:8" ht="15" customHeight="1" x14ac:dyDescent="0.25">
      <c r="A9" s="37" t="s">
        <v>258</v>
      </c>
      <c r="B9" s="38" t="s">
        <v>51</v>
      </c>
      <c r="C9" s="37"/>
      <c r="D9" s="37" t="s">
        <v>50</v>
      </c>
      <c r="E9" s="39">
        <v>230</v>
      </c>
      <c r="F9" s="37"/>
      <c r="G9" s="37"/>
      <c r="H9" s="37"/>
    </row>
    <row r="10" spans="1:8" ht="15" customHeight="1" x14ac:dyDescent="0.25">
      <c r="A10" s="40" t="s">
        <v>258</v>
      </c>
      <c r="B10" s="41" t="s">
        <v>52</v>
      </c>
      <c r="C10" s="40"/>
      <c r="D10" s="40" t="s">
        <v>50</v>
      </c>
      <c r="E10" s="42">
        <v>95</v>
      </c>
      <c r="F10" s="40"/>
      <c r="G10" s="40"/>
      <c r="H10" s="40"/>
    </row>
    <row r="11" spans="1:8" ht="15" customHeight="1" x14ac:dyDescent="0.25">
      <c r="A11" s="37" t="s">
        <v>258</v>
      </c>
      <c r="B11" s="38" t="s">
        <v>53</v>
      </c>
      <c r="C11" s="37"/>
      <c r="D11" s="37" t="s">
        <v>50</v>
      </c>
      <c r="E11" s="39">
        <v>120</v>
      </c>
      <c r="F11" s="37"/>
      <c r="G11" s="37"/>
      <c r="H11" s="37"/>
    </row>
    <row r="12" spans="1:8" ht="15" customHeight="1" x14ac:dyDescent="0.25">
      <c r="A12" s="40" t="s">
        <v>258</v>
      </c>
      <c r="B12" s="41" t="s">
        <v>54</v>
      </c>
      <c r="C12" s="40"/>
      <c r="D12" s="40" t="s">
        <v>50</v>
      </c>
      <c r="E12" s="42">
        <v>288</v>
      </c>
      <c r="F12" s="40"/>
      <c r="G12" s="40"/>
      <c r="H12" s="40"/>
    </row>
    <row r="13" spans="1:8" ht="15" customHeight="1" x14ac:dyDescent="0.25">
      <c r="A13" s="37" t="s">
        <v>258</v>
      </c>
      <c r="B13" s="38" t="s">
        <v>55</v>
      </c>
      <c r="C13" s="37"/>
      <c r="D13" s="37" t="s">
        <v>50</v>
      </c>
      <c r="E13" s="39">
        <v>135</v>
      </c>
      <c r="F13" s="37"/>
      <c r="G13" s="37"/>
      <c r="H13" s="37"/>
    </row>
    <row r="14" spans="1:8" ht="15" customHeight="1" x14ac:dyDescent="0.25">
      <c r="A14" s="40" t="s">
        <v>258</v>
      </c>
      <c r="B14" s="40" t="s">
        <v>126</v>
      </c>
      <c r="C14" s="31"/>
      <c r="D14" s="40" t="s">
        <v>50</v>
      </c>
      <c r="E14" s="107">
        <f>'💳 Empréstimo'!F36</f>
        <v>560</v>
      </c>
      <c r="F14" s="31"/>
      <c r="G14" s="40" t="s">
        <v>259</v>
      </c>
      <c r="H14" s="31"/>
    </row>
    <row r="15" spans="1:8" ht="15" customHeight="1" x14ac:dyDescent="0.25">
      <c r="A15" s="31"/>
      <c r="B15" s="31"/>
      <c r="C15" s="31"/>
      <c r="D15" s="31"/>
      <c r="E15" s="29"/>
      <c r="F15" s="31"/>
      <c r="G15" s="31"/>
      <c r="H15" s="31"/>
    </row>
    <row r="16" spans="1:8" ht="15" customHeight="1" x14ac:dyDescent="0.25">
      <c r="A16" s="31"/>
      <c r="B16" s="31"/>
      <c r="C16" s="31"/>
      <c r="D16" s="31"/>
      <c r="E16" s="29"/>
      <c r="F16" s="31"/>
      <c r="G16" s="31"/>
      <c r="H16" s="31"/>
    </row>
    <row r="17" spans="1:8" ht="15" customHeight="1" x14ac:dyDescent="0.25">
      <c r="A17" s="155" t="s">
        <v>56</v>
      </c>
      <c r="B17" s="152"/>
      <c r="C17" s="152"/>
      <c r="D17" s="153"/>
      <c r="E17" s="43">
        <f>SUM(E7:E16)</f>
        <v>1730</v>
      </c>
      <c r="F17" s="44"/>
      <c r="G17" s="44"/>
      <c r="H17" s="44"/>
    </row>
    <row r="18" spans="1:8" ht="15" customHeight="1" x14ac:dyDescent="0.25">
      <c r="A18" s="156" t="s">
        <v>57</v>
      </c>
      <c r="B18" s="152"/>
      <c r="C18" s="152"/>
      <c r="D18" s="153"/>
      <c r="E18" s="45">
        <v>1350</v>
      </c>
      <c r="F18" s="44"/>
      <c r="G18" s="44"/>
      <c r="H18" s="44"/>
    </row>
    <row r="19" spans="1:8" ht="15" customHeight="1" x14ac:dyDescent="0.25">
      <c r="A19" s="157" t="s">
        <v>58</v>
      </c>
      <c r="B19" s="152"/>
      <c r="C19" s="152"/>
      <c r="D19" s="153"/>
      <c r="E19" s="46">
        <f>E17+E18</f>
        <v>3080</v>
      </c>
      <c r="F19" s="47"/>
      <c r="G19" s="47"/>
      <c r="H19" s="47"/>
    </row>
    <row r="20" spans="1:8" ht="14.25" customHeight="1" x14ac:dyDescent="0.25">
      <c r="A20" s="17"/>
      <c r="B20" s="17"/>
      <c r="C20" s="17"/>
      <c r="D20" s="17"/>
      <c r="E20" s="17"/>
      <c r="F20" s="17"/>
      <c r="G20" s="17"/>
      <c r="H20" s="17"/>
    </row>
    <row r="21" spans="1:8" ht="19.5" customHeight="1" x14ac:dyDescent="0.25">
      <c r="A21" s="158" t="s">
        <v>260</v>
      </c>
      <c r="B21" s="146"/>
      <c r="C21" s="146"/>
      <c r="D21" s="146"/>
      <c r="E21" s="146"/>
      <c r="F21" s="146"/>
      <c r="G21" s="146"/>
      <c r="H21" s="147"/>
    </row>
    <row r="22" spans="1:8" ht="15" customHeight="1" x14ac:dyDescent="0.25">
      <c r="A22" s="48" t="s">
        <v>22</v>
      </c>
      <c r="B22" s="48" t="s">
        <v>39</v>
      </c>
      <c r="C22" s="48" t="s">
        <v>40</v>
      </c>
      <c r="D22" s="48" t="s">
        <v>41</v>
      </c>
      <c r="E22" s="48" t="s">
        <v>42</v>
      </c>
      <c r="F22" s="48" t="s">
        <v>60</v>
      </c>
      <c r="G22" s="48" t="s">
        <v>44</v>
      </c>
      <c r="H22" s="48"/>
    </row>
    <row r="23" spans="1:8" ht="15" customHeight="1" x14ac:dyDescent="0.25">
      <c r="A23" s="49" t="s">
        <v>258</v>
      </c>
      <c r="B23" s="50" t="s">
        <v>61</v>
      </c>
      <c r="C23" s="49" t="s">
        <v>62</v>
      </c>
      <c r="D23" s="49" t="s">
        <v>50</v>
      </c>
      <c r="E23" s="51">
        <v>1475</v>
      </c>
      <c r="F23" s="49"/>
      <c r="G23" s="49"/>
      <c r="H23" s="49"/>
    </row>
    <row r="24" spans="1:8" ht="15" customHeight="1" x14ac:dyDescent="0.25">
      <c r="A24" s="52" t="s">
        <v>258</v>
      </c>
      <c r="B24" s="53" t="s">
        <v>63</v>
      </c>
      <c r="C24" s="52" t="s">
        <v>62</v>
      </c>
      <c r="D24" s="52" t="s">
        <v>50</v>
      </c>
      <c r="E24" s="54">
        <v>1300</v>
      </c>
      <c r="F24" s="52"/>
      <c r="G24" s="52"/>
      <c r="H24" s="52"/>
    </row>
    <row r="25" spans="1:8" ht="15" customHeight="1" x14ac:dyDescent="0.25">
      <c r="A25" s="49" t="s">
        <v>258</v>
      </c>
      <c r="B25" s="50" t="s">
        <v>64</v>
      </c>
      <c r="C25" s="49" t="s">
        <v>62</v>
      </c>
      <c r="D25" s="49" t="s">
        <v>50</v>
      </c>
      <c r="E25" s="51">
        <v>1500</v>
      </c>
      <c r="F25" s="49"/>
      <c r="G25" s="49"/>
      <c r="H25" s="49"/>
    </row>
    <row r="26" spans="1:8" ht="15" customHeight="1" x14ac:dyDescent="0.25">
      <c r="A26" s="52"/>
      <c r="B26" s="53"/>
      <c r="C26" s="52"/>
      <c r="D26" s="52"/>
      <c r="E26" s="54"/>
      <c r="F26" s="52"/>
      <c r="G26" s="52"/>
      <c r="H26" s="52"/>
    </row>
    <row r="27" spans="1:8" ht="15" customHeight="1" x14ac:dyDescent="0.25">
      <c r="A27" s="55"/>
      <c r="B27" s="55"/>
      <c r="C27" s="55"/>
      <c r="D27" s="55"/>
      <c r="E27" s="56"/>
      <c r="F27" s="55"/>
      <c r="G27" s="55"/>
      <c r="H27" s="55"/>
    </row>
    <row r="28" spans="1:8" ht="15" customHeight="1" x14ac:dyDescent="0.25">
      <c r="A28" s="55"/>
      <c r="B28" s="55"/>
      <c r="C28" s="55"/>
      <c r="D28" s="55"/>
      <c r="E28" s="56"/>
      <c r="F28" s="55"/>
      <c r="G28" s="55"/>
      <c r="H28" s="55"/>
    </row>
    <row r="29" spans="1:8" ht="15" customHeight="1" x14ac:dyDescent="0.25">
      <c r="A29" s="157" t="s">
        <v>66</v>
      </c>
      <c r="B29" s="152"/>
      <c r="C29" s="152"/>
      <c r="D29" s="153"/>
      <c r="E29" s="46">
        <f>SUM(E23:E28)</f>
        <v>4275</v>
      </c>
      <c r="F29" s="47"/>
      <c r="G29" s="47"/>
      <c r="H29" s="47"/>
    </row>
    <row r="30" spans="1:8" ht="15.75" customHeight="1" x14ac:dyDescent="0.25">
      <c r="A30" s="17"/>
      <c r="B30" s="17"/>
      <c r="C30" s="17"/>
      <c r="D30" s="17"/>
      <c r="E30" s="17"/>
      <c r="F30" s="17"/>
      <c r="G30" s="17"/>
      <c r="H30" s="17"/>
    </row>
    <row r="31" spans="1:8" ht="19.5" customHeight="1" x14ac:dyDescent="0.25">
      <c r="A31" s="159" t="s">
        <v>67</v>
      </c>
      <c r="B31" s="146"/>
      <c r="C31" s="146"/>
      <c r="D31" s="146"/>
      <c r="E31" s="146"/>
      <c r="F31" s="146"/>
      <c r="G31" s="146"/>
      <c r="H31" s="147"/>
    </row>
    <row r="32" spans="1:8" ht="15" customHeight="1" x14ac:dyDescent="0.25">
      <c r="A32" s="151" t="s">
        <v>68</v>
      </c>
      <c r="B32" s="152"/>
      <c r="C32" s="152"/>
      <c r="D32" s="153"/>
      <c r="E32" s="57">
        <f>E29-E19</f>
        <v>1195</v>
      </c>
      <c r="F32" s="58"/>
      <c r="G32" s="58"/>
      <c r="H32" s="58"/>
    </row>
    <row r="33" spans="1:8" ht="15" customHeight="1" x14ac:dyDescent="0.25">
      <c r="A33" s="151" t="s">
        <v>76</v>
      </c>
      <c r="B33" s="152"/>
      <c r="C33" s="152"/>
      <c r="D33" s="153"/>
      <c r="E33" s="57">
        <f>0.7*(E29-E19)</f>
        <v>836.5</v>
      </c>
      <c r="F33" s="58"/>
      <c r="G33" s="58"/>
      <c r="H33" s="58"/>
    </row>
    <row r="34" spans="1:8" ht="15" customHeight="1" x14ac:dyDescent="0.25">
      <c r="A34" s="151" t="s">
        <v>70</v>
      </c>
      <c r="B34" s="152"/>
      <c r="C34" s="152"/>
      <c r="D34" s="153"/>
      <c r="E34" s="57">
        <f>E19/6</f>
        <v>513.33333333333337</v>
      </c>
      <c r="F34" s="58"/>
      <c r="G34" s="58"/>
      <c r="H34" s="58"/>
    </row>
    <row r="35" spans="1:8" ht="15.75" customHeight="1" x14ac:dyDescent="0.25">
      <c r="A35" s="17"/>
      <c r="B35" s="17"/>
      <c r="C35" s="17"/>
      <c r="D35" s="17"/>
      <c r="E35" s="17"/>
      <c r="F35" s="17"/>
      <c r="G35" s="17"/>
      <c r="H35" s="17"/>
    </row>
    <row r="36" spans="1:8" ht="15.75" customHeight="1" x14ac:dyDescent="0.25">
      <c r="A36" s="17"/>
      <c r="B36" s="17"/>
      <c r="C36" s="17"/>
      <c r="D36" s="17"/>
      <c r="E36" s="17"/>
      <c r="F36" s="17"/>
      <c r="G36" s="17"/>
      <c r="H36" s="17"/>
    </row>
    <row r="37" spans="1:8" ht="15.75" customHeight="1" x14ac:dyDescent="0.25">
      <c r="A37" s="17"/>
      <c r="B37" s="17"/>
      <c r="C37" s="17"/>
      <c r="D37" s="17"/>
      <c r="E37" s="17"/>
      <c r="F37" s="17"/>
      <c r="G37" s="17"/>
      <c r="H37" s="17"/>
    </row>
    <row r="38" spans="1:8" ht="15.75" customHeight="1" x14ac:dyDescent="0.25">
      <c r="A38" s="17"/>
      <c r="B38" s="17"/>
      <c r="C38" s="17"/>
      <c r="D38" s="17"/>
      <c r="E38" s="17"/>
      <c r="F38" s="17"/>
      <c r="G38" s="17"/>
      <c r="H38" s="17"/>
    </row>
    <row r="39" spans="1:8" ht="15.75" customHeight="1" x14ac:dyDescent="0.25">
      <c r="A39" s="17"/>
      <c r="B39" s="17"/>
      <c r="C39" s="17"/>
      <c r="D39" s="17"/>
      <c r="E39" s="17"/>
      <c r="F39" s="17"/>
      <c r="G39" s="17"/>
      <c r="H39" s="17"/>
    </row>
    <row r="40" spans="1:8" ht="15.75" customHeight="1" x14ac:dyDescent="0.25">
      <c r="A40" s="17"/>
      <c r="B40" s="17"/>
      <c r="C40" s="17"/>
      <c r="D40" s="17"/>
      <c r="E40" s="17"/>
      <c r="F40" s="17"/>
      <c r="G40" s="17"/>
      <c r="H40" s="17"/>
    </row>
    <row r="41" spans="1:8" ht="15.75" customHeight="1" x14ac:dyDescent="0.25">
      <c r="A41" s="17"/>
      <c r="B41" s="17"/>
      <c r="C41" s="17"/>
      <c r="D41" s="17"/>
      <c r="E41" s="17"/>
      <c r="F41" s="17"/>
      <c r="G41" s="17"/>
      <c r="H41" s="17"/>
    </row>
    <row r="42" spans="1:8" ht="15.75" customHeight="1" x14ac:dyDescent="0.25">
      <c r="A42" s="17"/>
      <c r="B42" s="17"/>
      <c r="C42" s="17"/>
      <c r="D42" s="17"/>
      <c r="E42" s="17"/>
      <c r="F42" s="17"/>
      <c r="G42" s="17"/>
      <c r="H42" s="17"/>
    </row>
    <row r="43" spans="1:8" ht="15.75" customHeight="1" x14ac:dyDescent="0.25">
      <c r="A43" s="17"/>
      <c r="B43" s="17"/>
      <c r="C43" s="17"/>
      <c r="D43" s="17"/>
      <c r="E43" s="17"/>
      <c r="F43" s="17"/>
      <c r="G43" s="17"/>
      <c r="H43" s="17"/>
    </row>
    <row r="44" spans="1:8" ht="15.75" customHeight="1" x14ac:dyDescent="0.25">
      <c r="A44" s="17"/>
      <c r="B44" s="17"/>
      <c r="C44" s="17"/>
      <c r="D44" s="17"/>
      <c r="E44" s="17"/>
      <c r="F44" s="17"/>
      <c r="G44" s="17"/>
      <c r="H44" s="17"/>
    </row>
    <row r="45" spans="1:8" ht="15.75" customHeight="1" x14ac:dyDescent="0.25">
      <c r="A45" s="17"/>
      <c r="B45" s="17"/>
      <c r="C45" s="17"/>
      <c r="D45" s="17"/>
      <c r="E45" s="17"/>
      <c r="F45" s="17"/>
      <c r="G45" s="17"/>
      <c r="H45" s="17"/>
    </row>
    <row r="46" spans="1:8" ht="15.75" customHeight="1" x14ac:dyDescent="0.25">
      <c r="A46" s="17"/>
      <c r="B46" s="17"/>
      <c r="C46" s="17"/>
      <c r="D46" s="17"/>
      <c r="E46" s="17"/>
      <c r="F46" s="17"/>
      <c r="G46" s="17"/>
      <c r="H46" s="17"/>
    </row>
    <row r="47" spans="1:8" ht="15.75" customHeight="1" x14ac:dyDescent="0.25">
      <c r="A47" s="17"/>
      <c r="B47" s="17"/>
      <c r="C47" s="17"/>
      <c r="D47" s="17"/>
      <c r="E47" s="17"/>
      <c r="F47" s="17"/>
      <c r="G47" s="17"/>
      <c r="H47" s="17"/>
    </row>
    <row r="48" spans="1:8" ht="15.75" customHeight="1" x14ac:dyDescent="0.25">
      <c r="A48" s="17"/>
      <c r="B48" s="17"/>
      <c r="C48" s="17"/>
      <c r="D48" s="17"/>
      <c r="E48" s="17"/>
      <c r="F48" s="17"/>
      <c r="G48" s="17"/>
      <c r="H48" s="17"/>
    </row>
    <row r="49" spans="1:8" ht="15.75" customHeight="1" x14ac:dyDescent="0.25">
      <c r="A49" s="17"/>
      <c r="B49" s="17"/>
      <c r="C49" s="17"/>
      <c r="D49" s="17"/>
      <c r="E49" s="17"/>
      <c r="F49" s="17"/>
      <c r="G49" s="17"/>
      <c r="H49" s="17"/>
    </row>
    <row r="50" spans="1:8" ht="15.75" customHeight="1" x14ac:dyDescent="0.25">
      <c r="A50" s="17"/>
      <c r="B50" s="17"/>
      <c r="C50" s="17"/>
      <c r="D50" s="17"/>
      <c r="E50" s="17"/>
      <c r="F50" s="17"/>
      <c r="G50" s="17"/>
      <c r="H50" s="17"/>
    </row>
    <row r="51" spans="1:8" ht="15.75" customHeight="1" x14ac:dyDescent="0.25">
      <c r="A51" s="17"/>
      <c r="B51" s="17"/>
      <c r="C51" s="17"/>
      <c r="D51" s="17"/>
      <c r="E51" s="17"/>
      <c r="F51" s="17"/>
      <c r="G51" s="17"/>
      <c r="H51" s="17"/>
    </row>
    <row r="52" spans="1:8" ht="15.75" customHeight="1" x14ac:dyDescent="0.25">
      <c r="A52" s="17"/>
      <c r="B52" s="17"/>
      <c r="C52" s="17"/>
      <c r="D52" s="17"/>
      <c r="E52" s="17"/>
      <c r="F52" s="17"/>
      <c r="G52" s="17"/>
      <c r="H52" s="17"/>
    </row>
    <row r="53" spans="1:8" ht="15.75" customHeight="1" x14ac:dyDescent="0.25">
      <c r="A53" s="17"/>
      <c r="B53" s="17"/>
      <c r="C53" s="17"/>
      <c r="D53" s="17"/>
      <c r="E53" s="17"/>
      <c r="F53" s="17"/>
      <c r="G53" s="17"/>
      <c r="H53" s="17"/>
    </row>
    <row r="54" spans="1:8" ht="15.75" customHeight="1" x14ac:dyDescent="0.25">
      <c r="A54" s="17"/>
      <c r="B54" s="17"/>
      <c r="C54" s="17"/>
      <c r="D54" s="17"/>
      <c r="E54" s="17"/>
      <c r="F54" s="17"/>
      <c r="G54" s="17"/>
      <c r="H54" s="17"/>
    </row>
    <row r="55" spans="1:8" ht="15.75" customHeight="1" x14ac:dyDescent="0.25">
      <c r="A55" s="17"/>
      <c r="B55" s="17"/>
      <c r="C55" s="17"/>
      <c r="D55" s="17"/>
      <c r="E55" s="17"/>
      <c r="F55" s="17"/>
      <c r="G55" s="17"/>
      <c r="H55" s="17"/>
    </row>
    <row r="56" spans="1:8" ht="15.75" customHeight="1" x14ac:dyDescent="0.25">
      <c r="A56" s="17"/>
      <c r="B56" s="17"/>
      <c r="C56" s="17"/>
      <c r="D56" s="17"/>
      <c r="E56" s="17"/>
      <c r="F56" s="17"/>
      <c r="G56" s="17"/>
      <c r="H56" s="17"/>
    </row>
    <row r="57" spans="1:8" ht="15.75" customHeight="1" x14ac:dyDescent="0.25">
      <c r="A57" s="17"/>
      <c r="B57" s="17"/>
      <c r="C57" s="17"/>
      <c r="D57" s="17"/>
      <c r="E57" s="17"/>
      <c r="F57" s="17"/>
      <c r="G57" s="17"/>
      <c r="H57" s="17"/>
    </row>
    <row r="58" spans="1:8" ht="15.75" customHeight="1" x14ac:dyDescent="0.25">
      <c r="A58" s="17"/>
      <c r="B58" s="17"/>
      <c r="C58" s="17"/>
      <c r="D58" s="17"/>
      <c r="E58" s="17"/>
      <c r="F58" s="17"/>
      <c r="G58" s="17"/>
      <c r="H58" s="17"/>
    </row>
    <row r="59" spans="1:8" ht="15.75" customHeight="1" x14ac:dyDescent="0.25">
      <c r="A59" s="17"/>
      <c r="B59" s="17"/>
      <c r="C59" s="17"/>
      <c r="D59" s="17"/>
      <c r="E59" s="17"/>
      <c r="F59" s="17"/>
      <c r="G59" s="17"/>
      <c r="H59" s="17"/>
    </row>
    <row r="60" spans="1:8" ht="15.75" customHeight="1" x14ac:dyDescent="0.25">
      <c r="A60" s="17"/>
      <c r="B60" s="17"/>
      <c r="C60" s="17"/>
      <c r="D60" s="17"/>
      <c r="E60" s="17"/>
      <c r="F60" s="17"/>
      <c r="G60" s="17"/>
      <c r="H60" s="17"/>
    </row>
    <row r="61" spans="1:8" ht="15.75" customHeight="1" x14ac:dyDescent="0.25">
      <c r="A61" s="17"/>
      <c r="B61" s="17"/>
      <c r="C61" s="17"/>
      <c r="D61" s="17"/>
      <c r="E61" s="17"/>
      <c r="F61" s="17"/>
      <c r="G61" s="17"/>
      <c r="H61" s="17"/>
    </row>
    <row r="62" spans="1:8" ht="15.75" customHeight="1" x14ac:dyDescent="0.25">
      <c r="A62" s="17"/>
      <c r="B62" s="17"/>
      <c r="C62" s="17"/>
      <c r="D62" s="17"/>
      <c r="E62" s="17"/>
      <c r="F62" s="17"/>
      <c r="G62" s="17"/>
      <c r="H62" s="17"/>
    </row>
    <row r="63" spans="1:8" ht="15.75" customHeight="1" x14ac:dyDescent="0.25">
      <c r="A63" s="17"/>
      <c r="B63" s="17"/>
      <c r="C63" s="17"/>
      <c r="D63" s="17"/>
      <c r="E63" s="17"/>
      <c r="F63" s="17"/>
      <c r="G63" s="17"/>
      <c r="H63" s="17"/>
    </row>
    <row r="64" spans="1:8" ht="15.75" customHeight="1" x14ac:dyDescent="0.25">
      <c r="A64" s="17"/>
      <c r="B64" s="17"/>
      <c r="C64" s="17"/>
      <c r="D64" s="17"/>
      <c r="E64" s="17"/>
      <c r="F64" s="17"/>
      <c r="G64" s="17"/>
      <c r="H64" s="17"/>
    </row>
    <row r="65" spans="1:8" ht="15.75" customHeight="1" x14ac:dyDescent="0.25">
      <c r="A65" s="17"/>
      <c r="B65" s="17"/>
      <c r="C65" s="17"/>
      <c r="D65" s="17"/>
      <c r="E65" s="17"/>
      <c r="F65" s="17"/>
      <c r="G65" s="17"/>
      <c r="H65" s="17"/>
    </row>
    <row r="66" spans="1:8" ht="15.75" customHeight="1" x14ac:dyDescent="0.25">
      <c r="A66" s="17"/>
      <c r="B66" s="17"/>
      <c r="C66" s="17"/>
      <c r="D66" s="17"/>
      <c r="E66" s="17"/>
      <c r="F66" s="17"/>
      <c r="G66" s="17"/>
      <c r="H66" s="17"/>
    </row>
    <row r="67" spans="1:8" ht="15.75" customHeight="1" x14ac:dyDescent="0.25">
      <c r="A67" s="17"/>
      <c r="B67" s="17"/>
      <c r="C67" s="17"/>
      <c r="D67" s="17"/>
      <c r="E67" s="17"/>
      <c r="F67" s="17"/>
      <c r="G67" s="17"/>
      <c r="H67" s="17"/>
    </row>
    <row r="68" spans="1:8" ht="15.75" customHeight="1" x14ac:dyDescent="0.25">
      <c r="A68" s="17"/>
      <c r="B68" s="17"/>
      <c r="C68" s="17"/>
      <c r="D68" s="17"/>
      <c r="E68" s="17"/>
      <c r="F68" s="17"/>
      <c r="G68" s="17"/>
      <c r="H68" s="17"/>
    </row>
    <row r="69" spans="1:8" ht="15.75" customHeight="1" x14ac:dyDescent="0.25">
      <c r="A69" s="17"/>
      <c r="B69" s="17"/>
      <c r="C69" s="17"/>
      <c r="D69" s="17"/>
      <c r="E69" s="17"/>
      <c r="F69" s="17"/>
      <c r="G69" s="17"/>
      <c r="H69" s="17"/>
    </row>
    <row r="70" spans="1:8" ht="15.75" customHeight="1" x14ac:dyDescent="0.25">
      <c r="A70" s="17"/>
      <c r="B70" s="17"/>
      <c r="C70" s="17"/>
      <c r="D70" s="17"/>
      <c r="E70" s="17"/>
      <c r="F70" s="17"/>
      <c r="G70" s="17"/>
      <c r="H70" s="17"/>
    </row>
    <row r="71" spans="1:8" ht="15.75" customHeight="1" x14ac:dyDescent="0.25">
      <c r="A71" s="17"/>
      <c r="B71" s="17"/>
      <c r="C71" s="17"/>
      <c r="D71" s="17"/>
      <c r="E71" s="17"/>
      <c r="F71" s="17"/>
      <c r="G71" s="17"/>
      <c r="H71" s="17"/>
    </row>
    <row r="72" spans="1:8" ht="15.75" customHeight="1" x14ac:dyDescent="0.25">
      <c r="A72" s="17"/>
      <c r="B72" s="17"/>
      <c r="C72" s="17"/>
      <c r="D72" s="17"/>
      <c r="E72" s="17"/>
      <c r="F72" s="17"/>
      <c r="G72" s="17"/>
      <c r="H72" s="17"/>
    </row>
    <row r="73" spans="1:8" ht="15.75" customHeight="1" x14ac:dyDescent="0.25">
      <c r="A73" s="17"/>
      <c r="B73" s="17"/>
      <c r="C73" s="17"/>
      <c r="D73" s="17"/>
      <c r="E73" s="17"/>
      <c r="F73" s="17"/>
      <c r="G73" s="17"/>
      <c r="H73" s="17"/>
    </row>
    <row r="74" spans="1:8" ht="15.75" customHeight="1" x14ac:dyDescent="0.25">
      <c r="A74" s="17"/>
      <c r="B74" s="17"/>
      <c r="C74" s="17"/>
      <c r="D74" s="17"/>
      <c r="E74" s="17"/>
      <c r="F74" s="17"/>
      <c r="G74" s="17"/>
      <c r="H74" s="17"/>
    </row>
    <row r="75" spans="1:8" ht="15.75" customHeight="1" x14ac:dyDescent="0.25">
      <c r="A75" s="17"/>
      <c r="B75" s="17"/>
      <c r="C75" s="17"/>
      <c r="D75" s="17"/>
      <c r="E75" s="17"/>
      <c r="F75" s="17"/>
      <c r="G75" s="17"/>
      <c r="H75" s="17"/>
    </row>
    <row r="76" spans="1:8" ht="15.75" customHeight="1" x14ac:dyDescent="0.25">
      <c r="A76" s="17"/>
      <c r="B76" s="17"/>
      <c r="C76" s="17"/>
      <c r="D76" s="17"/>
      <c r="E76" s="17"/>
      <c r="F76" s="17"/>
      <c r="G76" s="17"/>
      <c r="H76" s="17"/>
    </row>
    <row r="77" spans="1:8" ht="15.75" customHeight="1" x14ac:dyDescent="0.25">
      <c r="A77" s="17"/>
      <c r="B77" s="17"/>
      <c r="C77" s="17"/>
      <c r="D77" s="17"/>
      <c r="E77" s="17"/>
      <c r="F77" s="17"/>
      <c r="G77" s="17"/>
      <c r="H77" s="17"/>
    </row>
    <row r="78" spans="1:8" ht="15.75" customHeight="1" x14ac:dyDescent="0.25">
      <c r="A78" s="17"/>
      <c r="B78" s="17"/>
      <c r="C78" s="17"/>
      <c r="D78" s="17"/>
      <c r="E78" s="17"/>
      <c r="F78" s="17"/>
      <c r="G78" s="17"/>
      <c r="H78" s="17"/>
    </row>
    <row r="79" spans="1:8" ht="15.75" customHeight="1" x14ac:dyDescent="0.25">
      <c r="A79" s="17"/>
      <c r="B79" s="17"/>
      <c r="C79" s="17"/>
      <c r="D79" s="17"/>
      <c r="E79" s="17"/>
      <c r="F79" s="17"/>
      <c r="G79" s="17"/>
      <c r="H79" s="17"/>
    </row>
    <row r="80" spans="1:8" ht="15.75" customHeight="1" x14ac:dyDescent="0.25">
      <c r="A80" s="17"/>
      <c r="B80" s="17"/>
      <c r="C80" s="17"/>
      <c r="D80" s="17"/>
      <c r="E80" s="17"/>
      <c r="F80" s="17"/>
      <c r="G80" s="17"/>
      <c r="H80" s="17"/>
    </row>
    <row r="81" spans="1:8" ht="15.75" customHeight="1" x14ac:dyDescent="0.25">
      <c r="A81" s="17"/>
      <c r="B81" s="17"/>
      <c r="C81" s="17"/>
      <c r="D81" s="17"/>
      <c r="E81" s="17"/>
      <c r="F81" s="17"/>
      <c r="G81" s="17"/>
      <c r="H81" s="17"/>
    </row>
    <row r="82" spans="1:8" ht="15.75" customHeight="1" x14ac:dyDescent="0.25">
      <c r="A82" s="17"/>
      <c r="B82" s="17"/>
      <c r="C82" s="17"/>
      <c r="D82" s="17"/>
      <c r="E82" s="17"/>
      <c r="F82" s="17"/>
      <c r="G82" s="17"/>
      <c r="H82" s="17"/>
    </row>
    <row r="83" spans="1:8" ht="15.75" customHeight="1" x14ac:dyDescent="0.25">
      <c r="A83" s="17"/>
      <c r="B83" s="17"/>
      <c r="C83" s="17"/>
      <c r="D83" s="17"/>
      <c r="E83" s="17"/>
      <c r="F83" s="17"/>
      <c r="G83" s="17"/>
      <c r="H83" s="17"/>
    </row>
    <row r="84" spans="1:8" ht="15.75" customHeight="1" x14ac:dyDescent="0.25">
      <c r="A84" s="17"/>
      <c r="B84" s="17"/>
      <c r="C84" s="17"/>
      <c r="D84" s="17"/>
      <c r="E84" s="17"/>
      <c r="F84" s="17"/>
      <c r="G84" s="17"/>
      <c r="H84" s="17"/>
    </row>
    <row r="85" spans="1:8" ht="15.75" customHeight="1" x14ac:dyDescent="0.25">
      <c r="A85" s="17"/>
      <c r="B85" s="17"/>
      <c r="C85" s="17"/>
      <c r="D85" s="17"/>
      <c r="E85" s="17"/>
      <c r="F85" s="17"/>
      <c r="G85" s="17"/>
      <c r="H85" s="17"/>
    </row>
    <row r="86" spans="1:8" ht="15.75" customHeight="1" x14ac:dyDescent="0.25">
      <c r="A86" s="17"/>
      <c r="B86" s="17"/>
      <c r="C86" s="17"/>
      <c r="D86" s="17"/>
      <c r="E86" s="17"/>
      <c r="F86" s="17"/>
      <c r="G86" s="17"/>
      <c r="H86" s="17"/>
    </row>
    <row r="87" spans="1:8" ht="15.75" customHeight="1" x14ac:dyDescent="0.25">
      <c r="A87" s="17"/>
      <c r="B87" s="17"/>
      <c r="C87" s="17"/>
      <c r="D87" s="17"/>
      <c r="E87" s="17"/>
      <c r="F87" s="17"/>
      <c r="G87" s="17"/>
      <c r="H87" s="17"/>
    </row>
    <row r="88" spans="1:8" ht="15.75" customHeight="1" x14ac:dyDescent="0.25">
      <c r="A88" s="17"/>
      <c r="B88" s="17"/>
      <c r="C88" s="17"/>
      <c r="D88" s="17"/>
      <c r="E88" s="17"/>
      <c r="F88" s="17"/>
      <c r="G88" s="17"/>
      <c r="H88" s="17"/>
    </row>
    <row r="89" spans="1:8" ht="15.75" customHeight="1" x14ac:dyDescent="0.25">
      <c r="A89" s="17"/>
      <c r="B89" s="17"/>
      <c r="C89" s="17"/>
      <c r="D89" s="17"/>
      <c r="E89" s="17"/>
      <c r="F89" s="17"/>
      <c r="G89" s="17"/>
      <c r="H89" s="17"/>
    </row>
    <row r="90" spans="1:8" ht="15.75" customHeight="1" x14ac:dyDescent="0.25">
      <c r="A90" s="17"/>
      <c r="B90" s="17"/>
      <c r="C90" s="17"/>
      <c r="D90" s="17"/>
      <c r="E90" s="17"/>
      <c r="F90" s="17"/>
      <c r="G90" s="17"/>
      <c r="H90" s="17"/>
    </row>
    <row r="91" spans="1:8" ht="15.75" customHeight="1" x14ac:dyDescent="0.25">
      <c r="A91" s="17"/>
      <c r="B91" s="17"/>
      <c r="C91" s="17"/>
      <c r="D91" s="17"/>
      <c r="E91" s="17"/>
      <c r="F91" s="17"/>
      <c r="G91" s="17"/>
      <c r="H91" s="17"/>
    </row>
    <row r="92" spans="1:8" ht="15.75" customHeight="1" x14ac:dyDescent="0.25">
      <c r="A92" s="17"/>
      <c r="B92" s="17"/>
      <c r="C92" s="17"/>
      <c r="D92" s="17"/>
      <c r="E92" s="17"/>
      <c r="F92" s="17"/>
      <c r="G92" s="17"/>
      <c r="H92" s="17"/>
    </row>
    <row r="93" spans="1:8" ht="15.75" customHeight="1" x14ac:dyDescent="0.25">
      <c r="A93" s="17"/>
      <c r="B93" s="17"/>
      <c r="C93" s="17"/>
      <c r="D93" s="17"/>
      <c r="E93" s="17"/>
      <c r="F93" s="17"/>
      <c r="G93" s="17"/>
      <c r="H93" s="17"/>
    </row>
    <row r="94" spans="1:8" ht="15.75" customHeight="1" x14ac:dyDescent="0.25">
      <c r="A94" s="17"/>
      <c r="B94" s="17"/>
      <c r="C94" s="17"/>
      <c r="D94" s="17"/>
      <c r="E94" s="17"/>
      <c r="F94" s="17"/>
      <c r="G94" s="17"/>
      <c r="H94" s="17"/>
    </row>
    <row r="95" spans="1:8" ht="15.75" customHeight="1" x14ac:dyDescent="0.25">
      <c r="A95" s="17"/>
      <c r="B95" s="17"/>
      <c r="C95" s="17"/>
      <c r="D95" s="17"/>
      <c r="E95" s="17"/>
      <c r="F95" s="17"/>
      <c r="G95" s="17"/>
      <c r="H95" s="17"/>
    </row>
    <row r="96" spans="1:8" ht="15.75" customHeight="1" x14ac:dyDescent="0.25">
      <c r="A96" s="17"/>
      <c r="B96" s="17"/>
      <c r="C96" s="17"/>
      <c r="D96" s="17"/>
      <c r="E96" s="17"/>
      <c r="F96" s="17"/>
      <c r="G96" s="17"/>
      <c r="H96" s="17"/>
    </row>
    <row r="97" spans="1:8" ht="15.75" customHeight="1" x14ac:dyDescent="0.25">
      <c r="A97" s="17"/>
      <c r="B97" s="17"/>
      <c r="C97" s="17"/>
      <c r="D97" s="17"/>
      <c r="E97" s="17"/>
      <c r="F97" s="17"/>
      <c r="G97" s="17"/>
      <c r="H97" s="17"/>
    </row>
    <row r="98" spans="1:8" ht="15.75" customHeight="1" x14ac:dyDescent="0.25">
      <c r="A98" s="17"/>
      <c r="B98" s="17"/>
      <c r="C98" s="17"/>
      <c r="D98" s="17"/>
      <c r="E98" s="17"/>
      <c r="F98" s="17"/>
      <c r="G98" s="17"/>
      <c r="H98" s="17"/>
    </row>
    <row r="99" spans="1:8" ht="15.75" customHeight="1" x14ac:dyDescent="0.25">
      <c r="A99" s="17"/>
      <c r="B99" s="17"/>
      <c r="C99" s="17"/>
      <c r="D99" s="17"/>
      <c r="E99" s="17"/>
      <c r="F99" s="17"/>
      <c r="G99" s="17"/>
      <c r="H99" s="17"/>
    </row>
    <row r="100" spans="1:8" ht="15.75" customHeight="1" x14ac:dyDescent="0.25">
      <c r="A100" s="17"/>
      <c r="B100" s="17"/>
      <c r="C100" s="17"/>
      <c r="D100" s="17"/>
      <c r="E100" s="17"/>
      <c r="F100" s="17"/>
      <c r="G100" s="17"/>
      <c r="H100" s="17"/>
    </row>
  </sheetData>
  <mergeCells count="19">
    <mergeCell ref="A1:H1"/>
    <mergeCell ref="A2:B2"/>
    <mergeCell ref="C2:D2"/>
    <mergeCell ref="E2:F2"/>
    <mergeCell ref="G2:H2"/>
    <mergeCell ref="A5:H5"/>
    <mergeCell ref="A32:D32"/>
    <mergeCell ref="A33:D33"/>
    <mergeCell ref="A34:D34"/>
    <mergeCell ref="C3:D3"/>
    <mergeCell ref="A17:D17"/>
    <mergeCell ref="A18:D18"/>
    <mergeCell ref="A19:D19"/>
    <mergeCell ref="A21:H21"/>
    <mergeCell ref="A29:D29"/>
    <mergeCell ref="A31:H31"/>
    <mergeCell ref="E3:F3"/>
    <mergeCell ref="G3:H3"/>
    <mergeCell ref="A3:B3"/>
  </mergeCells>
  <pageMargins left="0.75" right="0.75" top="1" bottom="1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2E86AB"/>
  </sheetPr>
  <dimension ref="A1:H100"/>
  <sheetViews>
    <sheetView workbookViewId="0">
      <selection sqref="A1:H1"/>
    </sheetView>
  </sheetViews>
  <sheetFormatPr defaultColWidth="14.42578125" defaultRowHeight="15" customHeight="1" x14ac:dyDescent="0.25"/>
  <cols>
    <col min="1" max="1" width="10" customWidth="1"/>
    <col min="2" max="2" width="26" customWidth="1"/>
    <col min="3" max="7" width="16" customWidth="1"/>
    <col min="8" max="8" width="20" customWidth="1"/>
  </cols>
  <sheetData>
    <row r="1" spans="1:8" ht="27.75" customHeight="1" x14ac:dyDescent="0.25">
      <c r="A1" s="163" t="s">
        <v>261</v>
      </c>
      <c r="B1" s="146"/>
      <c r="C1" s="146"/>
      <c r="D1" s="146"/>
      <c r="E1" s="146"/>
      <c r="F1" s="146"/>
      <c r="G1" s="146"/>
      <c r="H1" s="147"/>
    </row>
    <row r="2" spans="1:8" ht="18" customHeight="1" x14ac:dyDescent="0.25">
      <c r="A2" s="164" t="s">
        <v>34</v>
      </c>
      <c r="B2" s="147"/>
      <c r="C2" s="164" t="s">
        <v>35</v>
      </c>
      <c r="D2" s="147"/>
      <c r="E2" s="164" t="s">
        <v>36</v>
      </c>
      <c r="F2" s="147"/>
      <c r="G2" s="164" t="s">
        <v>37</v>
      </c>
      <c r="H2" s="147"/>
    </row>
    <row r="3" spans="1:8" ht="21.75" customHeight="1" x14ac:dyDescent="0.25">
      <c r="A3" s="162">
        <f>E29</f>
        <v>4275</v>
      </c>
      <c r="B3" s="147"/>
      <c r="C3" s="154">
        <f>E19</f>
        <v>3080</v>
      </c>
      <c r="D3" s="147"/>
      <c r="E3" s="160">
        <f>E29-E19</f>
        <v>1195</v>
      </c>
      <c r="F3" s="147"/>
      <c r="G3" s="161">
        <f>IF(E29&gt;0,(E29-E19)/E29,0)</f>
        <v>0.27953216374269008</v>
      </c>
      <c r="H3" s="147"/>
    </row>
    <row r="4" spans="1:8" ht="14.25" customHeight="1" x14ac:dyDescent="0.25">
      <c r="A4" s="17"/>
      <c r="B4" s="17"/>
      <c r="C4" s="17"/>
      <c r="D4" s="17"/>
      <c r="E4" s="17"/>
      <c r="F4" s="17"/>
      <c r="G4" s="17"/>
      <c r="H4" s="17"/>
    </row>
    <row r="5" spans="1:8" ht="19.5" customHeight="1" x14ac:dyDescent="0.25">
      <c r="A5" s="150" t="s">
        <v>262</v>
      </c>
      <c r="B5" s="146"/>
      <c r="C5" s="146"/>
      <c r="D5" s="146"/>
      <c r="E5" s="146"/>
      <c r="F5" s="146"/>
      <c r="G5" s="146"/>
      <c r="H5" s="147"/>
    </row>
    <row r="6" spans="1:8" ht="15" customHeight="1" x14ac:dyDescent="0.25">
      <c r="A6" s="36" t="s">
        <v>22</v>
      </c>
      <c r="B6" s="36" t="s">
        <v>39</v>
      </c>
      <c r="C6" s="36" t="s">
        <v>40</v>
      </c>
      <c r="D6" s="36" t="s">
        <v>41</v>
      </c>
      <c r="E6" s="36" t="s">
        <v>42</v>
      </c>
      <c r="F6" s="36" t="s">
        <v>43</v>
      </c>
      <c r="G6" s="36" t="s">
        <v>44</v>
      </c>
      <c r="H6" s="36"/>
    </row>
    <row r="7" spans="1:8" ht="15" customHeight="1" x14ac:dyDescent="0.25">
      <c r="A7" s="37" t="s">
        <v>263</v>
      </c>
      <c r="B7" s="38" t="s">
        <v>46</v>
      </c>
      <c r="C7" s="37" t="s">
        <v>167</v>
      </c>
      <c r="D7" s="37" t="s">
        <v>48</v>
      </c>
      <c r="E7" s="39">
        <v>86</v>
      </c>
      <c r="F7" s="37"/>
      <c r="G7" s="37"/>
      <c r="H7" s="37"/>
    </row>
    <row r="8" spans="1:8" ht="15" customHeight="1" x14ac:dyDescent="0.25">
      <c r="A8" s="40" t="s">
        <v>263</v>
      </c>
      <c r="B8" s="41" t="s">
        <v>49</v>
      </c>
      <c r="C8" s="40"/>
      <c r="D8" s="40" t="s">
        <v>50</v>
      </c>
      <c r="E8" s="42">
        <v>216</v>
      </c>
      <c r="F8" s="40"/>
      <c r="G8" s="40"/>
      <c r="H8" s="40"/>
    </row>
    <row r="9" spans="1:8" ht="15" customHeight="1" x14ac:dyDescent="0.25">
      <c r="A9" s="37" t="s">
        <v>263</v>
      </c>
      <c r="B9" s="38" t="s">
        <v>51</v>
      </c>
      <c r="C9" s="37"/>
      <c r="D9" s="37" t="s">
        <v>50</v>
      </c>
      <c r="E9" s="39">
        <v>230</v>
      </c>
      <c r="F9" s="37"/>
      <c r="G9" s="37"/>
      <c r="H9" s="37"/>
    </row>
    <row r="10" spans="1:8" ht="15" customHeight="1" x14ac:dyDescent="0.25">
      <c r="A10" s="40" t="s">
        <v>263</v>
      </c>
      <c r="B10" s="41" t="s">
        <v>52</v>
      </c>
      <c r="C10" s="40"/>
      <c r="D10" s="40" t="s">
        <v>50</v>
      </c>
      <c r="E10" s="42">
        <v>95</v>
      </c>
      <c r="F10" s="40"/>
      <c r="G10" s="40"/>
      <c r="H10" s="40"/>
    </row>
    <row r="11" spans="1:8" ht="15" customHeight="1" x14ac:dyDescent="0.25">
      <c r="A11" s="37" t="s">
        <v>263</v>
      </c>
      <c r="B11" s="38" t="s">
        <v>53</v>
      </c>
      <c r="C11" s="37"/>
      <c r="D11" s="37" t="s">
        <v>50</v>
      </c>
      <c r="E11" s="39">
        <v>120</v>
      </c>
      <c r="F11" s="37"/>
      <c r="G11" s="37"/>
      <c r="H11" s="37"/>
    </row>
    <row r="12" spans="1:8" ht="15" customHeight="1" x14ac:dyDescent="0.25">
      <c r="A12" s="40" t="s">
        <v>263</v>
      </c>
      <c r="B12" s="41" t="s">
        <v>54</v>
      </c>
      <c r="C12" s="40"/>
      <c r="D12" s="40" t="s">
        <v>50</v>
      </c>
      <c r="E12" s="42">
        <v>288</v>
      </c>
      <c r="F12" s="40"/>
      <c r="G12" s="40"/>
      <c r="H12" s="40"/>
    </row>
    <row r="13" spans="1:8" ht="15" customHeight="1" x14ac:dyDescent="0.25">
      <c r="A13" s="37" t="s">
        <v>263</v>
      </c>
      <c r="B13" s="38" t="s">
        <v>55</v>
      </c>
      <c r="C13" s="37"/>
      <c r="D13" s="37" t="s">
        <v>50</v>
      </c>
      <c r="E13" s="39">
        <v>135</v>
      </c>
      <c r="F13" s="37"/>
      <c r="G13" s="37"/>
      <c r="H13" s="37"/>
    </row>
    <row r="14" spans="1:8" ht="15" customHeight="1" x14ac:dyDescent="0.25">
      <c r="A14" s="40" t="s">
        <v>263</v>
      </c>
      <c r="B14" s="40" t="s">
        <v>126</v>
      </c>
      <c r="C14" s="31"/>
      <c r="D14" s="40" t="s">
        <v>50</v>
      </c>
      <c r="E14" s="107">
        <f>'💳 Empréstimo'!F37</f>
        <v>560</v>
      </c>
      <c r="F14" s="31"/>
      <c r="G14" s="40" t="s">
        <v>264</v>
      </c>
      <c r="H14" s="31"/>
    </row>
    <row r="15" spans="1:8" ht="15" customHeight="1" x14ac:dyDescent="0.25">
      <c r="A15" s="31"/>
      <c r="B15" s="31"/>
      <c r="C15" s="31"/>
      <c r="D15" s="31"/>
      <c r="E15" s="29"/>
      <c r="F15" s="31"/>
      <c r="G15" s="31"/>
      <c r="H15" s="31"/>
    </row>
    <row r="16" spans="1:8" ht="15" customHeight="1" x14ac:dyDescent="0.25">
      <c r="A16" s="31"/>
      <c r="B16" s="31"/>
      <c r="C16" s="31"/>
      <c r="D16" s="31"/>
      <c r="E16" s="29"/>
      <c r="F16" s="31"/>
      <c r="G16" s="31"/>
      <c r="H16" s="31"/>
    </row>
    <row r="17" spans="1:8" ht="15" customHeight="1" x14ac:dyDescent="0.25">
      <c r="A17" s="155" t="s">
        <v>56</v>
      </c>
      <c r="B17" s="152"/>
      <c r="C17" s="152"/>
      <c r="D17" s="153"/>
      <c r="E17" s="43">
        <f>SUM(E7:E16)</f>
        <v>1730</v>
      </c>
      <c r="F17" s="44"/>
      <c r="G17" s="44"/>
      <c r="H17" s="44"/>
    </row>
    <row r="18" spans="1:8" ht="15" customHeight="1" x14ac:dyDescent="0.25">
      <c r="A18" s="156" t="s">
        <v>57</v>
      </c>
      <c r="B18" s="152"/>
      <c r="C18" s="152"/>
      <c r="D18" s="153"/>
      <c r="E18" s="45">
        <v>1350</v>
      </c>
      <c r="F18" s="44"/>
      <c r="G18" s="44"/>
      <c r="H18" s="44"/>
    </row>
    <row r="19" spans="1:8" ht="15" customHeight="1" x14ac:dyDescent="0.25">
      <c r="A19" s="157" t="s">
        <v>58</v>
      </c>
      <c r="B19" s="152"/>
      <c r="C19" s="152"/>
      <c r="D19" s="153"/>
      <c r="E19" s="46">
        <f>E17+E18</f>
        <v>3080</v>
      </c>
      <c r="F19" s="47"/>
      <c r="G19" s="47"/>
      <c r="H19" s="47"/>
    </row>
    <row r="20" spans="1:8" ht="14.25" customHeight="1" x14ac:dyDescent="0.25">
      <c r="A20" s="17"/>
      <c r="B20" s="17"/>
      <c r="C20" s="17"/>
      <c r="D20" s="17"/>
      <c r="E20" s="17"/>
      <c r="F20" s="17"/>
      <c r="G20" s="17"/>
      <c r="H20" s="17"/>
    </row>
    <row r="21" spans="1:8" ht="19.5" customHeight="1" x14ac:dyDescent="0.25">
      <c r="A21" s="158" t="s">
        <v>265</v>
      </c>
      <c r="B21" s="146"/>
      <c r="C21" s="146"/>
      <c r="D21" s="146"/>
      <c r="E21" s="146"/>
      <c r="F21" s="146"/>
      <c r="G21" s="146"/>
      <c r="H21" s="147"/>
    </row>
    <row r="22" spans="1:8" ht="15" customHeight="1" x14ac:dyDescent="0.25">
      <c r="A22" s="48" t="s">
        <v>22</v>
      </c>
      <c r="B22" s="48" t="s">
        <v>39</v>
      </c>
      <c r="C22" s="48" t="s">
        <v>40</v>
      </c>
      <c r="D22" s="48" t="s">
        <v>41</v>
      </c>
      <c r="E22" s="48" t="s">
        <v>42</v>
      </c>
      <c r="F22" s="48" t="s">
        <v>60</v>
      </c>
      <c r="G22" s="48" t="s">
        <v>44</v>
      </c>
      <c r="H22" s="48"/>
    </row>
    <row r="23" spans="1:8" ht="15" customHeight="1" x14ac:dyDescent="0.25">
      <c r="A23" s="49" t="s">
        <v>263</v>
      </c>
      <c r="B23" s="50" t="s">
        <v>61</v>
      </c>
      <c r="C23" s="49" t="s">
        <v>62</v>
      </c>
      <c r="D23" s="49" t="s">
        <v>50</v>
      </c>
      <c r="E23" s="51">
        <v>1475</v>
      </c>
      <c r="F23" s="49"/>
      <c r="G23" s="49"/>
      <c r="H23" s="49"/>
    </row>
    <row r="24" spans="1:8" ht="15" customHeight="1" x14ac:dyDescent="0.25">
      <c r="A24" s="52" t="s">
        <v>263</v>
      </c>
      <c r="B24" s="53" t="s">
        <v>63</v>
      </c>
      <c r="C24" s="52" t="s">
        <v>62</v>
      </c>
      <c r="D24" s="52" t="s">
        <v>50</v>
      </c>
      <c r="E24" s="54">
        <v>1300</v>
      </c>
      <c r="F24" s="52"/>
      <c r="G24" s="52"/>
      <c r="H24" s="52"/>
    </row>
    <row r="25" spans="1:8" ht="15" customHeight="1" x14ac:dyDescent="0.25">
      <c r="A25" s="49" t="s">
        <v>263</v>
      </c>
      <c r="B25" s="50" t="s">
        <v>64</v>
      </c>
      <c r="C25" s="49" t="s">
        <v>62</v>
      </c>
      <c r="D25" s="49" t="s">
        <v>50</v>
      </c>
      <c r="E25" s="51">
        <v>1500</v>
      </c>
      <c r="F25" s="49"/>
      <c r="G25" s="49"/>
      <c r="H25" s="49"/>
    </row>
    <row r="26" spans="1:8" ht="15" customHeight="1" x14ac:dyDescent="0.25">
      <c r="A26" s="52"/>
      <c r="B26" s="53"/>
      <c r="C26" s="52"/>
      <c r="D26" s="52"/>
      <c r="E26" s="54"/>
      <c r="F26" s="52"/>
      <c r="G26" s="52"/>
      <c r="H26" s="52"/>
    </row>
    <row r="27" spans="1:8" ht="15" customHeight="1" x14ac:dyDescent="0.25">
      <c r="A27" s="55"/>
      <c r="B27" s="55"/>
      <c r="C27" s="55"/>
      <c r="D27" s="55"/>
      <c r="E27" s="56"/>
      <c r="F27" s="55"/>
      <c r="G27" s="55"/>
      <c r="H27" s="55"/>
    </row>
    <row r="28" spans="1:8" ht="15" customHeight="1" x14ac:dyDescent="0.25">
      <c r="A28" s="55"/>
      <c r="B28" s="55"/>
      <c r="C28" s="55"/>
      <c r="D28" s="55"/>
      <c r="E28" s="56"/>
      <c r="F28" s="55"/>
      <c r="G28" s="55"/>
      <c r="H28" s="55"/>
    </row>
    <row r="29" spans="1:8" ht="15" customHeight="1" x14ac:dyDescent="0.25">
      <c r="A29" s="157" t="s">
        <v>66</v>
      </c>
      <c r="B29" s="152"/>
      <c r="C29" s="152"/>
      <c r="D29" s="153"/>
      <c r="E29" s="46">
        <f>SUM(E23:E28)</f>
        <v>4275</v>
      </c>
      <c r="F29" s="47"/>
      <c r="G29" s="47"/>
      <c r="H29" s="47"/>
    </row>
    <row r="30" spans="1:8" ht="15.75" customHeight="1" x14ac:dyDescent="0.25">
      <c r="A30" s="17"/>
      <c r="B30" s="17"/>
      <c r="C30" s="17"/>
      <c r="D30" s="17"/>
      <c r="E30" s="17"/>
      <c r="F30" s="17"/>
      <c r="G30" s="17"/>
      <c r="H30" s="17"/>
    </row>
    <row r="31" spans="1:8" ht="19.5" customHeight="1" x14ac:dyDescent="0.25">
      <c r="A31" s="159" t="s">
        <v>67</v>
      </c>
      <c r="B31" s="146"/>
      <c r="C31" s="146"/>
      <c r="D31" s="146"/>
      <c r="E31" s="146"/>
      <c r="F31" s="146"/>
      <c r="G31" s="146"/>
      <c r="H31" s="147"/>
    </row>
    <row r="32" spans="1:8" ht="15" customHeight="1" x14ac:dyDescent="0.25">
      <c r="A32" s="151" t="s">
        <v>68</v>
      </c>
      <c r="B32" s="152"/>
      <c r="C32" s="152"/>
      <c r="D32" s="153"/>
      <c r="E32" s="57">
        <f>E29-E19</f>
        <v>1195</v>
      </c>
      <c r="F32" s="58"/>
      <c r="G32" s="58"/>
      <c r="H32" s="58"/>
    </row>
    <row r="33" spans="1:8" ht="15" customHeight="1" x14ac:dyDescent="0.25">
      <c r="A33" s="151" t="s">
        <v>76</v>
      </c>
      <c r="B33" s="152"/>
      <c r="C33" s="152"/>
      <c r="D33" s="153"/>
      <c r="E33" s="57">
        <f>0.7*(E29-E19)</f>
        <v>836.5</v>
      </c>
      <c r="F33" s="58"/>
      <c r="G33" s="58"/>
      <c r="H33" s="58"/>
    </row>
    <row r="34" spans="1:8" ht="15" customHeight="1" x14ac:dyDescent="0.25">
      <c r="A34" s="151" t="s">
        <v>70</v>
      </c>
      <c r="B34" s="152"/>
      <c r="C34" s="152"/>
      <c r="D34" s="153"/>
      <c r="E34" s="57">
        <f>E19/6</f>
        <v>513.33333333333337</v>
      </c>
      <c r="F34" s="58"/>
      <c r="G34" s="58"/>
      <c r="H34" s="58"/>
    </row>
    <row r="35" spans="1:8" ht="15.75" customHeight="1" x14ac:dyDescent="0.25">
      <c r="A35" s="17"/>
      <c r="B35" s="17"/>
      <c r="C35" s="17"/>
      <c r="D35" s="17"/>
      <c r="E35" s="17"/>
      <c r="F35" s="17"/>
      <c r="G35" s="17"/>
      <c r="H35" s="17"/>
    </row>
    <row r="36" spans="1:8" ht="15.75" customHeight="1" x14ac:dyDescent="0.25">
      <c r="A36" s="17"/>
      <c r="B36" s="17"/>
      <c r="C36" s="17"/>
      <c r="D36" s="17"/>
      <c r="E36" s="17"/>
      <c r="F36" s="17"/>
      <c r="G36" s="17"/>
      <c r="H36" s="17"/>
    </row>
    <row r="37" spans="1:8" ht="15.75" customHeight="1" x14ac:dyDescent="0.25">
      <c r="A37" s="17"/>
      <c r="B37" s="17"/>
      <c r="C37" s="17"/>
      <c r="D37" s="17"/>
      <c r="E37" s="17"/>
      <c r="F37" s="17"/>
      <c r="G37" s="17"/>
      <c r="H37" s="17"/>
    </row>
    <row r="38" spans="1:8" ht="15.75" customHeight="1" x14ac:dyDescent="0.25">
      <c r="A38" s="17"/>
      <c r="B38" s="17"/>
      <c r="C38" s="17"/>
      <c r="D38" s="17"/>
      <c r="E38" s="17"/>
      <c r="F38" s="17"/>
      <c r="G38" s="17"/>
      <c r="H38" s="17"/>
    </row>
    <row r="39" spans="1:8" ht="15.75" customHeight="1" x14ac:dyDescent="0.25">
      <c r="A39" s="17"/>
      <c r="B39" s="17"/>
      <c r="C39" s="17"/>
      <c r="D39" s="17"/>
      <c r="E39" s="17"/>
      <c r="F39" s="17"/>
      <c r="G39" s="17"/>
      <c r="H39" s="17"/>
    </row>
    <row r="40" spans="1:8" ht="15.75" customHeight="1" x14ac:dyDescent="0.25">
      <c r="A40" s="17"/>
      <c r="B40" s="17"/>
      <c r="C40" s="17"/>
      <c r="D40" s="17"/>
      <c r="E40" s="17"/>
      <c r="F40" s="17"/>
      <c r="G40" s="17"/>
      <c r="H40" s="17"/>
    </row>
    <row r="41" spans="1:8" ht="15.75" customHeight="1" x14ac:dyDescent="0.25">
      <c r="A41" s="17"/>
      <c r="B41" s="17"/>
      <c r="C41" s="17"/>
      <c r="D41" s="17"/>
      <c r="E41" s="17"/>
      <c r="F41" s="17"/>
      <c r="G41" s="17"/>
      <c r="H41" s="17"/>
    </row>
    <row r="42" spans="1:8" ht="15.75" customHeight="1" x14ac:dyDescent="0.25">
      <c r="A42" s="17"/>
      <c r="B42" s="17"/>
      <c r="C42" s="17"/>
      <c r="D42" s="17"/>
      <c r="E42" s="17"/>
      <c r="F42" s="17"/>
      <c r="G42" s="17"/>
      <c r="H42" s="17"/>
    </row>
    <row r="43" spans="1:8" ht="15.75" customHeight="1" x14ac:dyDescent="0.25">
      <c r="A43" s="17"/>
      <c r="B43" s="17"/>
      <c r="C43" s="17"/>
      <c r="D43" s="17"/>
      <c r="E43" s="17"/>
      <c r="F43" s="17"/>
      <c r="G43" s="17"/>
      <c r="H43" s="17"/>
    </row>
    <row r="44" spans="1:8" ht="15.75" customHeight="1" x14ac:dyDescent="0.25">
      <c r="A44" s="17"/>
      <c r="B44" s="17"/>
      <c r="C44" s="17"/>
      <c r="D44" s="17"/>
      <c r="E44" s="17"/>
      <c r="F44" s="17"/>
      <c r="G44" s="17"/>
      <c r="H44" s="17"/>
    </row>
    <row r="45" spans="1:8" ht="15.75" customHeight="1" x14ac:dyDescent="0.25">
      <c r="A45" s="17"/>
      <c r="B45" s="17"/>
      <c r="C45" s="17"/>
      <c r="D45" s="17"/>
      <c r="E45" s="17"/>
      <c r="F45" s="17"/>
      <c r="G45" s="17"/>
      <c r="H45" s="17"/>
    </row>
    <row r="46" spans="1:8" ht="15.75" customHeight="1" x14ac:dyDescent="0.25">
      <c r="A46" s="17"/>
      <c r="B46" s="17"/>
      <c r="C46" s="17"/>
      <c r="D46" s="17"/>
      <c r="E46" s="17"/>
      <c r="F46" s="17"/>
      <c r="G46" s="17"/>
      <c r="H46" s="17"/>
    </row>
    <row r="47" spans="1:8" ht="15.75" customHeight="1" x14ac:dyDescent="0.25">
      <c r="A47" s="17"/>
      <c r="B47" s="17"/>
      <c r="C47" s="17"/>
      <c r="D47" s="17"/>
      <c r="E47" s="17"/>
      <c r="F47" s="17"/>
      <c r="G47" s="17"/>
      <c r="H47" s="17"/>
    </row>
    <row r="48" spans="1:8" ht="15.75" customHeight="1" x14ac:dyDescent="0.25">
      <c r="A48" s="17"/>
      <c r="B48" s="17"/>
      <c r="C48" s="17"/>
      <c r="D48" s="17"/>
      <c r="E48" s="17"/>
      <c r="F48" s="17"/>
      <c r="G48" s="17"/>
      <c r="H48" s="17"/>
    </row>
    <row r="49" spans="1:8" ht="15.75" customHeight="1" x14ac:dyDescent="0.25">
      <c r="A49" s="17"/>
      <c r="B49" s="17"/>
      <c r="C49" s="17"/>
      <c r="D49" s="17"/>
      <c r="E49" s="17"/>
      <c r="F49" s="17"/>
      <c r="G49" s="17"/>
      <c r="H49" s="17"/>
    </row>
    <row r="50" spans="1:8" ht="15.75" customHeight="1" x14ac:dyDescent="0.25">
      <c r="A50" s="17"/>
      <c r="B50" s="17"/>
      <c r="C50" s="17"/>
      <c r="D50" s="17"/>
      <c r="E50" s="17"/>
      <c r="F50" s="17"/>
      <c r="G50" s="17"/>
      <c r="H50" s="17"/>
    </row>
    <row r="51" spans="1:8" ht="15.75" customHeight="1" x14ac:dyDescent="0.25">
      <c r="A51" s="17"/>
      <c r="B51" s="17"/>
      <c r="C51" s="17"/>
      <c r="D51" s="17"/>
      <c r="E51" s="17"/>
      <c r="F51" s="17"/>
      <c r="G51" s="17"/>
      <c r="H51" s="17"/>
    </row>
    <row r="52" spans="1:8" ht="15.75" customHeight="1" x14ac:dyDescent="0.25">
      <c r="A52" s="17"/>
      <c r="B52" s="17"/>
      <c r="C52" s="17"/>
      <c r="D52" s="17"/>
      <c r="E52" s="17"/>
      <c r="F52" s="17"/>
      <c r="G52" s="17"/>
      <c r="H52" s="17"/>
    </row>
    <row r="53" spans="1:8" ht="15.75" customHeight="1" x14ac:dyDescent="0.25">
      <c r="A53" s="17"/>
      <c r="B53" s="17"/>
      <c r="C53" s="17"/>
      <c r="D53" s="17"/>
      <c r="E53" s="17"/>
      <c r="F53" s="17"/>
      <c r="G53" s="17"/>
      <c r="H53" s="17"/>
    </row>
    <row r="54" spans="1:8" ht="15.75" customHeight="1" x14ac:dyDescent="0.25">
      <c r="A54" s="17"/>
      <c r="B54" s="17"/>
      <c r="C54" s="17"/>
      <c r="D54" s="17"/>
      <c r="E54" s="17"/>
      <c r="F54" s="17"/>
      <c r="G54" s="17"/>
      <c r="H54" s="17"/>
    </row>
    <row r="55" spans="1:8" ht="15.75" customHeight="1" x14ac:dyDescent="0.25">
      <c r="A55" s="17"/>
      <c r="B55" s="17"/>
      <c r="C55" s="17"/>
      <c r="D55" s="17"/>
      <c r="E55" s="17"/>
      <c r="F55" s="17"/>
      <c r="G55" s="17"/>
      <c r="H55" s="17"/>
    </row>
    <row r="56" spans="1:8" ht="15.75" customHeight="1" x14ac:dyDescent="0.25">
      <c r="A56" s="17"/>
      <c r="B56" s="17"/>
      <c r="C56" s="17"/>
      <c r="D56" s="17"/>
      <c r="E56" s="17"/>
      <c r="F56" s="17"/>
      <c r="G56" s="17"/>
      <c r="H56" s="17"/>
    </row>
    <row r="57" spans="1:8" ht="15.75" customHeight="1" x14ac:dyDescent="0.25">
      <c r="A57" s="17"/>
      <c r="B57" s="17"/>
      <c r="C57" s="17"/>
      <c r="D57" s="17"/>
      <c r="E57" s="17"/>
      <c r="F57" s="17"/>
      <c r="G57" s="17"/>
      <c r="H57" s="17"/>
    </row>
    <row r="58" spans="1:8" ht="15.75" customHeight="1" x14ac:dyDescent="0.25">
      <c r="A58" s="17"/>
      <c r="B58" s="17"/>
      <c r="C58" s="17"/>
      <c r="D58" s="17"/>
      <c r="E58" s="17"/>
      <c r="F58" s="17"/>
      <c r="G58" s="17"/>
      <c r="H58" s="17"/>
    </row>
    <row r="59" spans="1:8" ht="15.75" customHeight="1" x14ac:dyDescent="0.25">
      <c r="A59" s="17"/>
      <c r="B59" s="17"/>
      <c r="C59" s="17"/>
      <c r="D59" s="17"/>
      <c r="E59" s="17"/>
      <c r="F59" s="17"/>
      <c r="G59" s="17"/>
      <c r="H59" s="17"/>
    </row>
    <row r="60" spans="1:8" ht="15.75" customHeight="1" x14ac:dyDescent="0.25">
      <c r="A60" s="17"/>
      <c r="B60" s="17"/>
      <c r="C60" s="17"/>
      <c r="D60" s="17"/>
      <c r="E60" s="17"/>
      <c r="F60" s="17"/>
      <c r="G60" s="17"/>
      <c r="H60" s="17"/>
    </row>
    <row r="61" spans="1:8" ht="15.75" customHeight="1" x14ac:dyDescent="0.25">
      <c r="A61" s="17"/>
      <c r="B61" s="17"/>
      <c r="C61" s="17"/>
      <c r="D61" s="17"/>
      <c r="E61" s="17"/>
      <c r="F61" s="17"/>
      <c r="G61" s="17"/>
      <c r="H61" s="17"/>
    </row>
    <row r="62" spans="1:8" ht="15.75" customHeight="1" x14ac:dyDescent="0.25">
      <c r="A62" s="17"/>
      <c r="B62" s="17"/>
      <c r="C62" s="17"/>
      <c r="D62" s="17"/>
      <c r="E62" s="17"/>
      <c r="F62" s="17"/>
      <c r="G62" s="17"/>
      <c r="H62" s="17"/>
    </row>
    <row r="63" spans="1:8" ht="15.75" customHeight="1" x14ac:dyDescent="0.25">
      <c r="A63" s="17"/>
      <c r="B63" s="17"/>
      <c r="C63" s="17"/>
      <c r="D63" s="17"/>
      <c r="E63" s="17"/>
      <c r="F63" s="17"/>
      <c r="G63" s="17"/>
      <c r="H63" s="17"/>
    </row>
    <row r="64" spans="1:8" ht="15.75" customHeight="1" x14ac:dyDescent="0.25">
      <c r="A64" s="17"/>
      <c r="B64" s="17"/>
      <c r="C64" s="17"/>
      <c r="D64" s="17"/>
      <c r="E64" s="17"/>
      <c r="F64" s="17"/>
      <c r="G64" s="17"/>
      <c r="H64" s="17"/>
    </row>
    <row r="65" spans="1:8" ht="15.75" customHeight="1" x14ac:dyDescent="0.25">
      <c r="A65" s="17"/>
      <c r="B65" s="17"/>
      <c r="C65" s="17"/>
      <c r="D65" s="17"/>
      <c r="E65" s="17"/>
      <c r="F65" s="17"/>
      <c r="G65" s="17"/>
      <c r="H65" s="17"/>
    </row>
    <row r="66" spans="1:8" ht="15.75" customHeight="1" x14ac:dyDescent="0.25">
      <c r="A66" s="17"/>
      <c r="B66" s="17"/>
      <c r="C66" s="17"/>
      <c r="D66" s="17"/>
      <c r="E66" s="17"/>
      <c r="F66" s="17"/>
      <c r="G66" s="17"/>
      <c r="H66" s="17"/>
    </row>
    <row r="67" spans="1:8" ht="15.75" customHeight="1" x14ac:dyDescent="0.25">
      <c r="A67" s="17"/>
      <c r="B67" s="17"/>
      <c r="C67" s="17"/>
      <c r="D67" s="17"/>
      <c r="E67" s="17"/>
      <c r="F67" s="17"/>
      <c r="G67" s="17"/>
      <c r="H67" s="17"/>
    </row>
    <row r="68" spans="1:8" ht="15.75" customHeight="1" x14ac:dyDescent="0.25">
      <c r="A68" s="17"/>
      <c r="B68" s="17"/>
      <c r="C68" s="17"/>
      <c r="D68" s="17"/>
      <c r="E68" s="17"/>
      <c r="F68" s="17"/>
      <c r="G68" s="17"/>
      <c r="H68" s="17"/>
    </row>
    <row r="69" spans="1:8" ht="15.75" customHeight="1" x14ac:dyDescent="0.25">
      <c r="A69" s="17"/>
      <c r="B69" s="17"/>
      <c r="C69" s="17"/>
      <c r="D69" s="17"/>
      <c r="E69" s="17"/>
      <c r="F69" s="17"/>
      <c r="G69" s="17"/>
      <c r="H69" s="17"/>
    </row>
    <row r="70" spans="1:8" ht="15.75" customHeight="1" x14ac:dyDescent="0.25">
      <c r="A70" s="17"/>
      <c r="B70" s="17"/>
      <c r="C70" s="17"/>
      <c r="D70" s="17"/>
      <c r="E70" s="17"/>
      <c r="F70" s="17"/>
      <c r="G70" s="17"/>
      <c r="H70" s="17"/>
    </row>
    <row r="71" spans="1:8" ht="15.75" customHeight="1" x14ac:dyDescent="0.25">
      <c r="A71" s="17"/>
      <c r="B71" s="17"/>
      <c r="C71" s="17"/>
      <c r="D71" s="17"/>
      <c r="E71" s="17"/>
      <c r="F71" s="17"/>
      <c r="G71" s="17"/>
      <c r="H71" s="17"/>
    </row>
    <row r="72" spans="1:8" ht="15.75" customHeight="1" x14ac:dyDescent="0.25">
      <c r="A72" s="17"/>
      <c r="B72" s="17"/>
      <c r="C72" s="17"/>
      <c r="D72" s="17"/>
      <c r="E72" s="17"/>
      <c r="F72" s="17"/>
      <c r="G72" s="17"/>
      <c r="H72" s="17"/>
    </row>
    <row r="73" spans="1:8" ht="15.75" customHeight="1" x14ac:dyDescent="0.25">
      <c r="A73" s="17"/>
      <c r="B73" s="17"/>
      <c r="C73" s="17"/>
      <c r="D73" s="17"/>
      <c r="E73" s="17"/>
      <c r="F73" s="17"/>
      <c r="G73" s="17"/>
      <c r="H73" s="17"/>
    </row>
    <row r="74" spans="1:8" ht="15.75" customHeight="1" x14ac:dyDescent="0.25">
      <c r="A74" s="17"/>
      <c r="B74" s="17"/>
      <c r="C74" s="17"/>
      <c r="D74" s="17"/>
      <c r="E74" s="17"/>
      <c r="F74" s="17"/>
      <c r="G74" s="17"/>
      <c r="H74" s="17"/>
    </row>
    <row r="75" spans="1:8" ht="15.75" customHeight="1" x14ac:dyDescent="0.25">
      <c r="A75" s="17"/>
      <c r="B75" s="17"/>
      <c r="C75" s="17"/>
      <c r="D75" s="17"/>
      <c r="E75" s="17"/>
      <c r="F75" s="17"/>
      <c r="G75" s="17"/>
      <c r="H75" s="17"/>
    </row>
    <row r="76" spans="1:8" ht="15.75" customHeight="1" x14ac:dyDescent="0.25">
      <c r="A76" s="17"/>
      <c r="B76" s="17"/>
      <c r="C76" s="17"/>
      <c r="D76" s="17"/>
      <c r="E76" s="17"/>
      <c r="F76" s="17"/>
      <c r="G76" s="17"/>
      <c r="H76" s="17"/>
    </row>
    <row r="77" spans="1:8" ht="15.75" customHeight="1" x14ac:dyDescent="0.25">
      <c r="A77" s="17"/>
      <c r="B77" s="17"/>
      <c r="C77" s="17"/>
      <c r="D77" s="17"/>
      <c r="E77" s="17"/>
      <c r="F77" s="17"/>
      <c r="G77" s="17"/>
      <c r="H77" s="17"/>
    </row>
    <row r="78" spans="1:8" ht="15.75" customHeight="1" x14ac:dyDescent="0.25">
      <c r="A78" s="17"/>
      <c r="B78" s="17"/>
      <c r="C78" s="17"/>
      <c r="D78" s="17"/>
      <c r="E78" s="17"/>
      <c r="F78" s="17"/>
      <c r="G78" s="17"/>
      <c r="H78" s="17"/>
    </row>
    <row r="79" spans="1:8" ht="15.75" customHeight="1" x14ac:dyDescent="0.25">
      <c r="A79" s="17"/>
      <c r="B79" s="17"/>
      <c r="C79" s="17"/>
      <c r="D79" s="17"/>
      <c r="E79" s="17"/>
      <c r="F79" s="17"/>
      <c r="G79" s="17"/>
      <c r="H79" s="17"/>
    </row>
    <row r="80" spans="1:8" ht="15.75" customHeight="1" x14ac:dyDescent="0.25">
      <c r="A80" s="17"/>
      <c r="B80" s="17"/>
      <c r="C80" s="17"/>
      <c r="D80" s="17"/>
      <c r="E80" s="17"/>
      <c r="F80" s="17"/>
      <c r="G80" s="17"/>
      <c r="H80" s="17"/>
    </row>
    <row r="81" spans="1:8" ht="15.75" customHeight="1" x14ac:dyDescent="0.25">
      <c r="A81" s="17"/>
      <c r="B81" s="17"/>
      <c r="C81" s="17"/>
      <c r="D81" s="17"/>
      <c r="E81" s="17"/>
      <c r="F81" s="17"/>
      <c r="G81" s="17"/>
      <c r="H81" s="17"/>
    </row>
    <row r="82" spans="1:8" ht="15.75" customHeight="1" x14ac:dyDescent="0.25">
      <c r="A82" s="17"/>
      <c r="B82" s="17"/>
      <c r="C82" s="17"/>
      <c r="D82" s="17"/>
      <c r="E82" s="17"/>
      <c r="F82" s="17"/>
      <c r="G82" s="17"/>
      <c r="H82" s="17"/>
    </row>
    <row r="83" spans="1:8" ht="15.75" customHeight="1" x14ac:dyDescent="0.25">
      <c r="A83" s="17"/>
      <c r="B83" s="17"/>
      <c r="C83" s="17"/>
      <c r="D83" s="17"/>
      <c r="E83" s="17"/>
      <c r="F83" s="17"/>
      <c r="G83" s="17"/>
      <c r="H83" s="17"/>
    </row>
    <row r="84" spans="1:8" ht="15.75" customHeight="1" x14ac:dyDescent="0.25">
      <c r="A84" s="17"/>
      <c r="B84" s="17"/>
      <c r="C84" s="17"/>
      <c r="D84" s="17"/>
      <c r="E84" s="17"/>
      <c r="F84" s="17"/>
      <c r="G84" s="17"/>
      <c r="H84" s="17"/>
    </row>
    <row r="85" spans="1:8" ht="15.75" customHeight="1" x14ac:dyDescent="0.25">
      <c r="A85" s="17"/>
      <c r="B85" s="17"/>
      <c r="C85" s="17"/>
      <c r="D85" s="17"/>
      <c r="E85" s="17"/>
      <c r="F85" s="17"/>
      <c r="G85" s="17"/>
      <c r="H85" s="17"/>
    </row>
    <row r="86" spans="1:8" ht="15.75" customHeight="1" x14ac:dyDescent="0.25">
      <c r="A86" s="17"/>
      <c r="B86" s="17"/>
      <c r="C86" s="17"/>
      <c r="D86" s="17"/>
      <c r="E86" s="17"/>
      <c r="F86" s="17"/>
      <c r="G86" s="17"/>
      <c r="H86" s="17"/>
    </row>
    <row r="87" spans="1:8" ht="15.75" customHeight="1" x14ac:dyDescent="0.25">
      <c r="A87" s="17"/>
      <c r="B87" s="17"/>
      <c r="C87" s="17"/>
      <c r="D87" s="17"/>
      <c r="E87" s="17"/>
      <c r="F87" s="17"/>
      <c r="G87" s="17"/>
      <c r="H87" s="17"/>
    </row>
    <row r="88" spans="1:8" ht="15.75" customHeight="1" x14ac:dyDescent="0.25">
      <c r="A88" s="17"/>
      <c r="B88" s="17"/>
      <c r="C88" s="17"/>
      <c r="D88" s="17"/>
      <c r="E88" s="17"/>
      <c r="F88" s="17"/>
      <c r="G88" s="17"/>
      <c r="H88" s="17"/>
    </row>
    <row r="89" spans="1:8" ht="15.75" customHeight="1" x14ac:dyDescent="0.25">
      <c r="A89" s="17"/>
      <c r="B89" s="17"/>
      <c r="C89" s="17"/>
      <c r="D89" s="17"/>
      <c r="E89" s="17"/>
      <c r="F89" s="17"/>
      <c r="G89" s="17"/>
      <c r="H89" s="17"/>
    </row>
    <row r="90" spans="1:8" ht="15.75" customHeight="1" x14ac:dyDescent="0.25">
      <c r="A90" s="17"/>
      <c r="B90" s="17"/>
      <c r="C90" s="17"/>
      <c r="D90" s="17"/>
      <c r="E90" s="17"/>
      <c r="F90" s="17"/>
      <c r="G90" s="17"/>
      <c r="H90" s="17"/>
    </row>
    <row r="91" spans="1:8" ht="15.75" customHeight="1" x14ac:dyDescent="0.25">
      <c r="A91" s="17"/>
      <c r="B91" s="17"/>
      <c r="C91" s="17"/>
      <c r="D91" s="17"/>
      <c r="E91" s="17"/>
      <c r="F91" s="17"/>
      <c r="G91" s="17"/>
      <c r="H91" s="17"/>
    </row>
    <row r="92" spans="1:8" ht="15.75" customHeight="1" x14ac:dyDescent="0.25">
      <c r="A92" s="17"/>
      <c r="B92" s="17"/>
      <c r="C92" s="17"/>
      <c r="D92" s="17"/>
      <c r="E92" s="17"/>
      <c r="F92" s="17"/>
      <c r="G92" s="17"/>
      <c r="H92" s="17"/>
    </row>
    <row r="93" spans="1:8" ht="15.75" customHeight="1" x14ac:dyDescent="0.25">
      <c r="A93" s="17"/>
      <c r="B93" s="17"/>
      <c r="C93" s="17"/>
      <c r="D93" s="17"/>
      <c r="E93" s="17"/>
      <c r="F93" s="17"/>
      <c r="G93" s="17"/>
      <c r="H93" s="17"/>
    </row>
    <row r="94" spans="1:8" ht="15.75" customHeight="1" x14ac:dyDescent="0.25">
      <c r="A94" s="17"/>
      <c r="B94" s="17"/>
      <c r="C94" s="17"/>
      <c r="D94" s="17"/>
      <c r="E94" s="17"/>
      <c r="F94" s="17"/>
      <c r="G94" s="17"/>
      <c r="H94" s="17"/>
    </row>
    <row r="95" spans="1:8" ht="15.75" customHeight="1" x14ac:dyDescent="0.25">
      <c r="A95" s="17"/>
      <c r="B95" s="17"/>
      <c r="C95" s="17"/>
      <c r="D95" s="17"/>
      <c r="E95" s="17"/>
      <c r="F95" s="17"/>
      <c r="G95" s="17"/>
      <c r="H95" s="17"/>
    </row>
    <row r="96" spans="1:8" ht="15.75" customHeight="1" x14ac:dyDescent="0.25">
      <c r="A96" s="17"/>
      <c r="B96" s="17"/>
      <c r="C96" s="17"/>
      <c r="D96" s="17"/>
      <c r="E96" s="17"/>
      <c r="F96" s="17"/>
      <c r="G96" s="17"/>
      <c r="H96" s="17"/>
    </row>
    <row r="97" spans="1:8" ht="15.75" customHeight="1" x14ac:dyDescent="0.25">
      <c r="A97" s="17"/>
      <c r="B97" s="17"/>
      <c r="C97" s="17"/>
      <c r="D97" s="17"/>
      <c r="E97" s="17"/>
      <c r="F97" s="17"/>
      <c r="G97" s="17"/>
      <c r="H97" s="17"/>
    </row>
    <row r="98" spans="1:8" ht="15.75" customHeight="1" x14ac:dyDescent="0.25">
      <c r="A98" s="17"/>
      <c r="B98" s="17"/>
      <c r="C98" s="17"/>
      <c r="D98" s="17"/>
      <c r="E98" s="17"/>
      <c r="F98" s="17"/>
      <c r="G98" s="17"/>
      <c r="H98" s="17"/>
    </row>
    <row r="99" spans="1:8" ht="15.75" customHeight="1" x14ac:dyDescent="0.25">
      <c r="A99" s="17"/>
      <c r="B99" s="17"/>
      <c r="C99" s="17"/>
      <c r="D99" s="17"/>
      <c r="E99" s="17"/>
      <c r="F99" s="17"/>
      <c r="G99" s="17"/>
      <c r="H99" s="17"/>
    </row>
    <row r="100" spans="1:8" ht="15.75" customHeight="1" x14ac:dyDescent="0.25">
      <c r="A100" s="17"/>
      <c r="B100" s="17"/>
      <c r="C100" s="17"/>
      <c r="D100" s="17"/>
      <c r="E100" s="17"/>
      <c r="F100" s="17"/>
      <c r="G100" s="17"/>
      <c r="H100" s="17"/>
    </row>
  </sheetData>
  <mergeCells count="19">
    <mergeCell ref="A1:H1"/>
    <mergeCell ref="A2:B2"/>
    <mergeCell ref="C2:D2"/>
    <mergeCell ref="E2:F2"/>
    <mergeCell ref="G2:H2"/>
    <mergeCell ref="A5:H5"/>
    <mergeCell ref="A32:D32"/>
    <mergeCell ref="A33:D33"/>
    <mergeCell ref="A34:D34"/>
    <mergeCell ref="C3:D3"/>
    <mergeCell ref="A17:D17"/>
    <mergeCell ref="A18:D18"/>
    <mergeCell ref="A19:D19"/>
    <mergeCell ref="A21:H21"/>
    <mergeCell ref="A29:D29"/>
    <mergeCell ref="A31:H31"/>
    <mergeCell ref="E3:F3"/>
    <mergeCell ref="G3:H3"/>
    <mergeCell ref="A3:B3"/>
  </mergeCells>
  <pageMargins left="0.75" right="0.75" top="1" bottom="1" header="0" footer="0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2E86AB"/>
  </sheetPr>
  <dimension ref="A1:H100"/>
  <sheetViews>
    <sheetView workbookViewId="0">
      <selection sqref="A1:H1"/>
    </sheetView>
  </sheetViews>
  <sheetFormatPr defaultColWidth="14.42578125" defaultRowHeight="15" customHeight="1" x14ac:dyDescent="0.25"/>
  <cols>
    <col min="1" max="1" width="10" customWidth="1"/>
    <col min="2" max="2" width="26" customWidth="1"/>
    <col min="3" max="7" width="16" customWidth="1"/>
    <col min="8" max="8" width="20" customWidth="1"/>
  </cols>
  <sheetData>
    <row r="1" spans="1:8" ht="27.75" customHeight="1" x14ac:dyDescent="0.25">
      <c r="A1" s="163" t="s">
        <v>266</v>
      </c>
      <c r="B1" s="146"/>
      <c r="C1" s="146"/>
      <c r="D1" s="146"/>
      <c r="E1" s="146"/>
      <c r="F1" s="146"/>
      <c r="G1" s="146"/>
      <c r="H1" s="147"/>
    </row>
    <row r="2" spans="1:8" ht="18" customHeight="1" x14ac:dyDescent="0.25">
      <c r="A2" s="164" t="s">
        <v>34</v>
      </c>
      <c r="B2" s="147"/>
      <c r="C2" s="164" t="s">
        <v>35</v>
      </c>
      <c r="D2" s="147"/>
      <c r="E2" s="164" t="s">
        <v>36</v>
      </c>
      <c r="F2" s="147"/>
      <c r="G2" s="164" t="s">
        <v>37</v>
      </c>
      <c r="H2" s="147"/>
    </row>
    <row r="3" spans="1:8" ht="21.75" customHeight="1" x14ac:dyDescent="0.25">
      <c r="A3" s="162">
        <f>E29</f>
        <v>4275</v>
      </c>
      <c r="B3" s="147"/>
      <c r="C3" s="154">
        <f>E19</f>
        <v>3080</v>
      </c>
      <c r="D3" s="147"/>
      <c r="E3" s="160">
        <f>E29-E19</f>
        <v>1195</v>
      </c>
      <c r="F3" s="147"/>
      <c r="G3" s="161">
        <f>IF(E29&gt;0,(E29-E19)/E29,0)</f>
        <v>0.27953216374269008</v>
      </c>
      <c r="H3" s="147"/>
    </row>
    <row r="4" spans="1:8" ht="14.25" customHeight="1" x14ac:dyDescent="0.25">
      <c r="A4" s="17"/>
      <c r="B4" s="17"/>
      <c r="C4" s="17"/>
      <c r="D4" s="17"/>
      <c r="E4" s="17"/>
      <c r="F4" s="17"/>
      <c r="G4" s="17"/>
      <c r="H4" s="17"/>
    </row>
    <row r="5" spans="1:8" ht="19.5" customHeight="1" x14ac:dyDescent="0.25">
      <c r="A5" s="150" t="s">
        <v>267</v>
      </c>
      <c r="B5" s="146"/>
      <c r="C5" s="146"/>
      <c r="D5" s="146"/>
      <c r="E5" s="146"/>
      <c r="F5" s="146"/>
      <c r="G5" s="146"/>
      <c r="H5" s="147"/>
    </row>
    <row r="6" spans="1:8" ht="15" customHeight="1" x14ac:dyDescent="0.25">
      <c r="A6" s="36" t="s">
        <v>22</v>
      </c>
      <c r="B6" s="36" t="s">
        <v>39</v>
      </c>
      <c r="C6" s="36" t="s">
        <v>40</v>
      </c>
      <c r="D6" s="36" t="s">
        <v>41</v>
      </c>
      <c r="E6" s="36" t="s">
        <v>42</v>
      </c>
      <c r="F6" s="36" t="s">
        <v>43</v>
      </c>
      <c r="G6" s="36" t="s">
        <v>44</v>
      </c>
      <c r="H6" s="36"/>
    </row>
    <row r="7" spans="1:8" ht="15" customHeight="1" x14ac:dyDescent="0.25">
      <c r="A7" s="37" t="s">
        <v>268</v>
      </c>
      <c r="B7" s="38" t="s">
        <v>46</v>
      </c>
      <c r="C7" s="37" t="s">
        <v>167</v>
      </c>
      <c r="D7" s="37" t="s">
        <v>48</v>
      </c>
      <c r="E7" s="39">
        <v>86</v>
      </c>
      <c r="F7" s="37"/>
      <c r="G7" s="37"/>
      <c r="H7" s="37"/>
    </row>
    <row r="8" spans="1:8" ht="15" customHeight="1" x14ac:dyDescent="0.25">
      <c r="A8" s="40" t="s">
        <v>268</v>
      </c>
      <c r="B8" s="41" t="s">
        <v>49</v>
      </c>
      <c r="C8" s="40"/>
      <c r="D8" s="40" t="s">
        <v>50</v>
      </c>
      <c r="E8" s="42">
        <v>216</v>
      </c>
      <c r="F8" s="40"/>
      <c r="G8" s="40"/>
      <c r="H8" s="40"/>
    </row>
    <row r="9" spans="1:8" ht="15" customHeight="1" x14ac:dyDescent="0.25">
      <c r="A9" s="37" t="s">
        <v>268</v>
      </c>
      <c r="B9" s="38" t="s">
        <v>51</v>
      </c>
      <c r="C9" s="37"/>
      <c r="D9" s="37" t="s">
        <v>50</v>
      </c>
      <c r="E9" s="39">
        <v>230</v>
      </c>
      <c r="F9" s="37"/>
      <c r="G9" s="37"/>
      <c r="H9" s="37"/>
    </row>
    <row r="10" spans="1:8" ht="15" customHeight="1" x14ac:dyDescent="0.25">
      <c r="A10" s="40" t="s">
        <v>268</v>
      </c>
      <c r="B10" s="41" t="s">
        <v>52</v>
      </c>
      <c r="C10" s="40"/>
      <c r="D10" s="40" t="s">
        <v>50</v>
      </c>
      <c r="E10" s="42">
        <v>95</v>
      </c>
      <c r="F10" s="40"/>
      <c r="G10" s="40"/>
      <c r="H10" s="40"/>
    </row>
    <row r="11" spans="1:8" ht="15" customHeight="1" x14ac:dyDescent="0.25">
      <c r="A11" s="37" t="s">
        <v>268</v>
      </c>
      <c r="B11" s="38" t="s">
        <v>53</v>
      </c>
      <c r="C11" s="37"/>
      <c r="D11" s="37" t="s">
        <v>50</v>
      </c>
      <c r="E11" s="39">
        <v>120</v>
      </c>
      <c r="F11" s="37"/>
      <c r="G11" s="37"/>
      <c r="H11" s="37"/>
    </row>
    <row r="12" spans="1:8" ht="15" customHeight="1" x14ac:dyDescent="0.25">
      <c r="A12" s="40" t="s">
        <v>268</v>
      </c>
      <c r="B12" s="41" t="s">
        <v>54</v>
      </c>
      <c r="C12" s="40"/>
      <c r="D12" s="40" t="s">
        <v>50</v>
      </c>
      <c r="E12" s="42">
        <v>288</v>
      </c>
      <c r="F12" s="40"/>
      <c r="G12" s="40"/>
      <c r="H12" s="40"/>
    </row>
    <row r="13" spans="1:8" ht="15" customHeight="1" x14ac:dyDescent="0.25">
      <c r="A13" s="37" t="s">
        <v>268</v>
      </c>
      <c r="B13" s="38" t="s">
        <v>55</v>
      </c>
      <c r="C13" s="37"/>
      <c r="D13" s="37" t="s">
        <v>50</v>
      </c>
      <c r="E13" s="39">
        <v>135</v>
      </c>
      <c r="F13" s="37"/>
      <c r="G13" s="37"/>
      <c r="H13" s="37"/>
    </row>
    <row r="14" spans="1:8" ht="15" customHeight="1" x14ac:dyDescent="0.25">
      <c r="A14" s="40" t="s">
        <v>268</v>
      </c>
      <c r="B14" s="40" t="s">
        <v>126</v>
      </c>
      <c r="C14" s="31"/>
      <c r="D14" s="40" t="s">
        <v>50</v>
      </c>
      <c r="E14" s="107">
        <f>'💳 Empréstimo'!F38</f>
        <v>560</v>
      </c>
      <c r="F14" s="31"/>
      <c r="G14" s="40" t="s">
        <v>269</v>
      </c>
      <c r="H14" s="31"/>
    </row>
    <row r="15" spans="1:8" ht="15" customHeight="1" x14ac:dyDescent="0.25">
      <c r="A15" s="31"/>
      <c r="B15" s="31"/>
      <c r="C15" s="31"/>
      <c r="D15" s="31"/>
      <c r="E15" s="29"/>
      <c r="F15" s="31"/>
      <c r="G15" s="31"/>
      <c r="H15" s="31"/>
    </row>
    <row r="16" spans="1:8" ht="15" customHeight="1" x14ac:dyDescent="0.25">
      <c r="A16" s="31"/>
      <c r="B16" s="31"/>
      <c r="C16" s="31"/>
      <c r="D16" s="31"/>
      <c r="E16" s="29"/>
      <c r="F16" s="31"/>
      <c r="G16" s="31"/>
      <c r="H16" s="31"/>
    </row>
    <row r="17" spans="1:8" ht="15" customHeight="1" x14ac:dyDescent="0.25">
      <c r="A17" s="155" t="s">
        <v>56</v>
      </c>
      <c r="B17" s="152"/>
      <c r="C17" s="152"/>
      <c r="D17" s="153"/>
      <c r="E17" s="43">
        <f>SUM(E7:E16)</f>
        <v>1730</v>
      </c>
      <c r="F17" s="44"/>
      <c r="G17" s="44"/>
      <c r="H17" s="44"/>
    </row>
    <row r="18" spans="1:8" ht="15" customHeight="1" x14ac:dyDescent="0.25">
      <c r="A18" s="156" t="s">
        <v>57</v>
      </c>
      <c r="B18" s="152"/>
      <c r="C18" s="152"/>
      <c r="D18" s="153"/>
      <c r="E18" s="45">
        <v>1350</v>
      </c>
      <c r="F18" s="44"/>
      <c r="G18" s="44"/>
      <c r="H18" s="44"/>
    </row>
    <row r="19" spans="1:8" ht="15" customHeight="1" x14ac:dyDescent="0.25">
      <c r="A19" s="157" t="s">
        <v>58</v>
      </c>
      <c r="B19" s="152"/>
      <c r="C19" s="152"/>
      <c r="D19" s="153"/>
      <c r="E19" s="46">
        <f>E17+E18</f>
        <v>3080</v>
      </c>
      <c r="F19" s="47"/>
      <c r="G19" s="47"/>
      <c r="H19" s="47"/>
    </row>
    <row r="20" spans="1:8" ht="14.25" customHeight="1" x14ac:dyDescent="0.25">
      <c r="A20" s="17"/>
      <c r="B20" s="17"/>
      <c r="C20" s="17"/>
      <c r="D20" s="17"/>
      <c r="E20" s="17"/>
      <c r="F20" s="17"/>
      <c r="G20" s="17"/>
      <c r="H20" s="17"/>
    </row>
    <row r="21" spans="1:8" ht="19.5" customHeight="1" x14ac:dyDescent="0.25">
      <c r="A21" s="158" t="s">
        <v>270</v>
      </c>
      <c r="B21" s="146"/>
      <c r="C21" s="146"/>
      <c r="D21" s="146"/>
      <c r="E21" s="146"/>
      <c r="F21" s="146"/>
      <c r="G21" s="146"/>
      <c r="H21" s="147"/>
    </row>
    <row r="22" spans="1:8" ht="15" customHeight="1" x14ac:dyDescent="0.25">
      <c r="A22" s="48" t="s">
        <v>22</v>
      </c>
      <c r="B22" s="48" t="s">
        <v>39</v>
      </c>
      <c r="C22" s="48" t="s">
        <v>40</v>
      </c>
      <c r="D22" s="48" t="s">
        <v>41</v>
      </c>
      <c r="E22" s="48" t="s">
        <v>42</v>
      </c>
      <c r="F22" s="48" t="s">
        <v>60</v>
      </c>
      <c r="G22" s="48" t="s">
        <v>44</v>
      </c>
      <c r="H22" s="48"/>
    </row>
    <row r="23" spans="1:8" ht="15" customHeight="1" x14ac:dyDescent="0.25">
      <c r="A23" s="49" t="s">
        <v>268</v>
      </c>
      <c r="B23" s="50" t="s">
        <v>61</v>
      </c>
      <c r="C23" s="49" t="s">
        <v>62</v>
      </c>
      <c r="D23" s="49" t="s">
        <v>50</v>
      </c>
      <c r="E23" s="51">
        <v>1475</v>
      </c>
      <c r="F23" s="49"/>
      <c r="G23" s="49"/>
      <c r="H23" s="49"/>
    </row>
    <row r="24" spans="1:8" ht="15" customHeight="1" x14ac:dyDescent="0.25">
      <c r="A24" s="52" t="s">
        <v>268</v>
      </c>
      <c r="B24" s="53" t="s">
        <v>63</v>
      </c>
      <c r="C24" s="52" t="s">
        <v>62</v>
      </c>
      <c r="D24" s="52" t="s">
        <v>50</v>
      </c>
      <c r="E24" s="54">
        <v>1300</v>
      </c>
      <c r="F24" s="52"/>
      <c r="G24" s="52"/>
      <c r="H24" s="52"/>
    </row>
    <row r="25" spans="1:8" ht="15" customHeight="1" x14ac:dyDescent="0.25">
      <c r="A25" s="49" t="s">
        <v>268</v>
      </c>
      <c r="B25" s="50" t="s">
        <v>64</v>
      </c>
      <c r="C25" s="49" t="s">
        <v>62</v>
      </c>
      <c r="D25" s="49" t="s">
        <v>50</v>
      </c>
      <c r="E25" s="51">
        <v>1500</v>
      </c>
      <c r="F25" s="49"/>
      <c r="G25" s="49"/>
      <c r="H25" s="49"/>
    </row>
    <row r="26" spans="1:8" ht="15" customHeight="1" x14ac:dyDescent="0.25">
      <c r="A26" s="52"/>
      <c r="B26" s="53"/>
      <c r="C26" s="52"/>
      <c r="D26" s="52"/>
      <c r="E26" s="54"/>
      <c r="F26" s="52"/>
      <c r="G26" s="52"/>
      <c r="H26" s="52"/>
    </row>
    <row r="27" spans="1:8" ht="15" customHeight="1" x14ac:dyDescent="0.25">
      <c r="A27" s="55"/>
      <c r="B27" s="55"/>
      <c r="C27" s="55"/>
      <c r="D27" s="55"/>
      <c r="E27" s="56"/>
      <c r="F27" s="55"/>
      <c r="G27" s="55"/>
      <c r="H27" s="55"/>
    </row>
    <row r="28" spans="1:8" ht="15" customHeight="1" x14ac:dyDescent="0.25">
      <c r="A28" s="55"/>
      <c r="B28" s="55"/>
      <c r="C28" s="55"/>
      <c r="D28" s="55"/>
      <c r="E28" s="56"/>
      <c r="F28" s="55"/>
      <c r="G28" s="55"/>
      <c r="H28" s="55"/>
    </row>
    <row r="29" spans="1:8" ht="15" customHeight="1" x14ac:dyDescent="0.25">
      <c r="A29" s="157" t="s">
        <v>66</v>
      </c>
      <c r="B29" s="152"/>
      <c r="C29" s="152"/>
      <c r="D29" s="153"/>
      <c r="E29" s="46">
        <f>SUM(E23:E28)</f>
        <v>4275</v>
      </c>
      <c r="F29" s="47"/>
      <c r="G29" s="47"/>
      <c r="H29" s="47"/>
    </row>
    <row r="30" spans="1:8" ht="15.75" customHeight="1" x14ac:dyDescent="0.25">
      <c r="A30" s="17"/>
      <c r="B30" s="17"/>
      <c r="C30" s="17"/>
      <c r="D30" s="17"/>
      <c r="E30" s="17"/>
      <c r="F30" s="17"/>
      <c r="G30" s="17"/>
      <c r="H30" s="17"/>
    </row>
    <row r="31" spans="1:8" ht="19.5" customHeight="1" x14ac:dyDescent="0.25">
      <c r="A31" s="159" t="s">
        <v>67</v>
      </c>
      <c r="B31" s="146"/>
      <c r="C31" s="146"/>
      <c r="D31" s="146"/>
      <c r="E31" s="146"/>
      <c r="F31" s="146"/>
      <c r="G31" s="146"/>
      <c r="H31" s="147"/>
    </row>
    <row r="32" spans="1:8" ht="15" customHeight="1" x14ac:dyDescent="0.25">
      <c r="A32" s="151" t="s">
        <v>68</v>
      </c>
      <c r="B32" s="152"/>
      <c r="C32" s="152"/>
      <c r="D32" s="153"/>
      <c r="E32" s="57">
        <f>E29-E19</f>
        <v>1195</v>
      </c>
      <c r="F32" s="58"/>
      <c r="G32" s="58"/>
      <c r="H32" s="58"/>
    </row>
    <row r="33" spans="1:8" ht="15" customHeight="1" x14ac:dyDescent="0.25">
      <c r="A33" s="151" t="s">
        <v>76</v>
      </c>
      <c r="B33" s="152"/>
      <c r="C33" s="152"/>
      <c r="D33" s="153"/>
      <c r="E33" s="57">
        <f>0.7*(E29-E19)</f>
        <v>836.5</v>
      </c>
      <c r="F33" s="58"/>
      <c r="G33" s="58"/>
      <c r="H33" s="58"/>
    </row>
    <row r="34" spans="1:8" ht="15" customHeight="1" x14ac:dyDescent="0.25">
      <c r="A34" s="151" t="s">
        <v>70</v>
      </c>
      <c r="B34" s="152"/>
      <c r="C34" s="152"/>
      <c r="D34" s="153"/>
      <c r="E34" s="57">
        <f>E19/6</f>
        <v>513.33333333333337</v>
      </c>
      <c r="F34" s="58"/>
      <c r="G34" s="58"/>
      <c r="H34" s="58"/>
    </row>
    <row r="35" spans="1:8" ht="15.75" customHeight="1" x14ac:dyDescent="0.25">
      <c r="A35" s="17"/>
      <c r="B35" s="17"/>
      <c r="C35" s="17"/>
      <c r="D35" s="17"/>
      <c r="E35" s="17"/>
      <c r="F35" s="17"/>
      <c r="G35" s="17"/>
      <c r="H35" s="17"/>
    </row>
    <row r="36" spans="1:8" ht="15.75" customHeight="1" x14ac:dyDescent="0.25">
      <c r="A36" s="17"/>
      <c r="B36" s="17"/>
      <c r="C36" s="17"/>
      <c r="D36" s="17"/>
      <c r="E36" s="17"/>
      <c r="F36" s="17"/>
      <c r="G36" s="17"/>
      <c r="H36" s="17"/>
    </row>
    <row r="37" spans="1:8" ht="15.75" customHeight="1" x14ac:dyDescent="0.25">
      <c r="A37" s="17"/>
      <c r="B37" s="17"/>
      <c r="C37" s="17"/>
      <c r="D37" s="17"/>
      <c r="E37" s="17"/>
      <c r="F37" s="17"/>
      <c r="G37" s="17"/>
      <c r="H37" s="17"/>
    </row>
    <row r="38" spans="1:8" ht="15.75" customHeight="1" x14ac:dyDescent="0.25">
      <c r="A38" s="17"/>
      <c r="B38" s="17"/>
      <c r="C38" s="17"/>
      <c r="D38" s="17"/>
      <c r="E38" s="17"/>
      <c r="F38" s="17"/>
      <c r="G38" s="17"/>
      <c r="H38" s="17"/>
    </row>
    <row r="39" spans="1:8" ht="15.75" customHeight="1" x14ac:dyDescent="0.25">
      <c r="A39" s="17"/>
      <c r="B39" s="17"/>
      <c r="C39" s="17"/>
      <c r="D39" s="17"/>
      <c r="E39" s="17"/>
      <c r="F39" s="17"/>
      <c r="G39" s="17"/>
      <c r="H39" s="17"/>
    </row>
    <row r="40" spans="1:8" ht="15.75" customHeight="1" x14ac:dyDescent="0.25">
      <c r="A40" s="17"/>
      <c r="B40" s="17"/>
      <c r="C40" s="17"/>
      <c r="D40" s="17"/>
      <c r="E40" s="17"/>
      <c r="F40" s="17"/>
      <c r="G40" s="17"/>
      <c r="H40" s="17"/>
    </row>
    <row r="41" spans="1:8" ht="15.75" customHeight="1" x14ac:dyDescent="0.25">
      <c r="A41" s="17"/>
      <c r="B41" s="17"/>
      <c r="C41" s="17"/>
      <c r="D41" s="17"/>
      <c r="E41" s="17"/>
      <c r="F41" s="17"/>
      <c r="G41" s="17"/>
      <c r="H41" s="17"/>
    </row>
    <row r="42" spans="1:8" ht="15.75" customHeight="1" x14ac:dyDescent="0.25">
      <c r="A42" s="17"/>
      <c r="B42" s="17"/>
      <c r="C42" s="17"/>
      <c r="D42" s="17"/>
      <c r="E42" s="17"/>
      <c r="F42" s="17"/>
      <c r="G42" s="17"/>
      <c r="H42" s="17"/>
    </row>
    <row r="43" spans="1:8" ht="15.75" customHeight="1" x14ac:dyDescent="0.25">
      <c r="A43" s="17"/>
      <c r="B43" s="17"/>
      <c r="C43" s="17"/>
      <c r="D43" s="17"/>
      <c r="E43" s="17"/>
      <c r="F43" s="17"/>
      <c r="G43" s="17"/>
      <c r="H43" s="17"/>
    </row>
    <row r="44" spans="1:8" ht="15.75" customHeight="1" x14ac:dyDescent="0.25">
      <c r="A44" s="17"/>
      <c r="B44" s="17"/>
      <c r="C44" s="17"/>
      <c r="D44" s="17"/>
      <c r="E44" s="17"/>
      <c r="F44" s="17"/>
      <c r="G44" s="17"/>
      <c r="H44" s="17"/>
    </row>
    <row r="45" spans="1:8" ht="15.75" customHeight="1" x14ac:dyDescent="0.25">
      <c r="A45" s="17"/>
      <c r="B45" s="17"/>
      <c r="C45" s="17"/>
      <c r="D45" s="17"/>
      <c r="E45" s="17"/>
      <c r="F45" s="17"/>
      <c r="G45" s="17"/>
      <c r="H45" s="17"/>
    </row>
    <row r="46" spans="1:8" ht="15.75" customHeight="1" x14ac:dyDescent="0.25">
      <c r="A46" s="17"/>
      <c r="B46" s="17"/>
      <c r="C46" s="17"/>
      <c r="D46" s="17"/>
      <c r="E46" s="17"/>
      <c r="F46" s="17"/>
      <c r="G46" s="17"/>
      <c r="H46" s="17"/>
    </row>
    <row r="47" spans="1:8" ht="15.75" customHeight="1" x14ac:dyDescent="0.25">
      <c r="A47" s="17"/>
      <c r="B47" s="17"/>
      <c r="C47" s="17"/>
      <c r="D47" s="17"/>
      <c r="E47" s="17"/>
      <c r="F47" s="17"/>
      <c r="G47" s="17"/>
      <c r="H47" s="17"/>
    </row>
    <row r="48" spans="1:8" ht="15.75" customHeight="1" x14ac:dyDescent="0.25">
      <c r="A48" s="17"/>
      <c r="B48" s="17"/>
      <c r="C48" s="17"/>
      <c r="D48" s="17"/>
      <c r="E48" s="17"/>
      <c r="F48" s="17"/>
      <c r="G48" s="17"/>
      <c r="H48" s="17"/>
    </row>
    <row r="49" spans="1:8" ht="15.75" customHeight="1" x14ac:dyDescent="0.25">
      <c r="A49" s="17"/>
      <c r="B49" s="17"/>
      <c r="C49" s="17"/>
      <c r="D49" s="17"/>
      <c r="E49" s="17"/>
      <c r="F49" s="17"/>
      <c r="G49" s="17"/>
      <c r="H49" s="17"/>
    </row>
    <row r="50" spans="1:8" ht="15.75" customHeight="1" x14ac:dyDescent="0.25">
      <c r="A50" s="17"/>
      <c r="B50" s="17"/>
      <c r="C50" s="17"/>
      <c r="D50" s="17"/>
      <c r="E50" s="17"/>
      <c r="F50" s="17"/>
      <c r="G50" s="17"/>
      <c r="H50" s="17"/>
    </row>
    <row r="51" spans="1:8" ht="15.75" customHeight="1" x14ac:dyDescent="0.25">
      <c r="A51" s="17"/>
      <c r="B51" s="17"/>
      <c r="C51" s="17"/>
      <c r="D51" s="17"/>
      <c r="E51" s="17"/>
      <c r="F51" s="17"/>
      <c r="G51" s="17"/>
      <c r="H51" s="17"/>
    </row>
    <row r="52" spans="1:8" ht="15.75" customHeight="1" x14ac:dyDescent="0.25">
      <c r="A52" s="17"/>
      <c r="B52" s="17"/>
      <c r="C52" s="17"/>
      <c r="D52" s="17"/>
      <c r="E52" s="17"/>
      <c r="F52" s="17"/>
      <c r="G52" s="17"/>
      <c r="H52" s="17"/>
    </row>
    <row r="53" spans="1:8" ht="15.75" customHeight="1" x14ac:dyDescent="0.25">
      <c r="A53" s="17"/>
      <c r="B53" s="17"/>
      <c r="C53" s="17"/>
      <c r="D53" s="17"/>
      <c r="E53" s="17"/>
      <c r="F53" s="17"/>
      <c r="G53" s="17"/>
      <c r="H53" s="17"/>
    </row>
    <row r="54" spans="1:8" ht="15.75" customHeight="1" x14ac:dyDescent="0.25">
      <c r="A54" s="17"/>
      <c r="B54" s="17"/>
      <c r="C54" s="17"/>
      <c r="D54" s="17"/>
      <c r="E54" s="17"/>
      <c r="F54" s="17"/>
      <c r="G54" s="17"/>
      <c r="H54" s="17"/>
    </row>
    <row r="55" spans="1:8" ht="15.75" customHeight="1" x14ac:dyDescent="0.25">
      <c r="A55" s="17"/>
      <c r="B55" s="17"/>
      <c r="C55" s="17"/>
      <c r="D55" s="17"/>
      <c r="E55" s="17"/>
      <c r="F55" s="17"/>
      <c r="G55" s="17"/>
      <c r="H55" s="17"/>
    </row>
    <row r="56" spans="1:8" ht="15.75" customHeight="1" x14ac:dyDescent="0.25">
      <c r="A56" s="17"/>
      <c r="B56" s="17"/>
      <c r="C56" s="17"/>
      <c r="D56" s="17"/>
      <c r="E56" s="17"/>
      <c r="F56" s="17"/>
      <c r="G56" s="17"/>
      <c r="H56" s="17"/>
    </row>
    <row r="57" spans="1:8" ht="15.75" customHeight="1" x14ac:dyDescent="0.25">
      <c r="A57" s="17"/>
      <c r="B57" s="17"/>
      <c r="C57" s="17"/>
      <c r="D57" s="17"/>
      <c r="E57" s="17"/>
      <c r="F57" s="17"/>
      <c r="G57" s="17"/>
      <c r="H57" s="17"/>
    </row>
    <row r="58" spans="1:8" ht="15.75" customHeight="1" x14ac:dyDescent="0.25">
      <c r="A58" s="17"/>
      <c r="B58" s="17"/>
      <c r="C58" s="17"/>
      <c r="D58" s="17"/>
      <c r="E58" s="17"/>
      <c r="F58" s="17"/>
      <c r="G58" s="17"/>
      <c r="H58" s="17"/>
    </row>
    <row r="59" spans="1:8" ht="15.75" customHeight="1" x14ac:dyDescent="0.25">
      <c r="A59" s="17"/>
      <c r="B59" s="17"/>
      <c r="C59" s="17"/>
      <c r="D59" s="17"/>
      <c r="E59" s="17"/>
      <c r="F59" s="17"/>
      <c r="G59" s="17"/>
      <c r="H59" s="17"/>
    </row>
    <row r="60" spans="1:8" ht="15.75" customHeight="1" x14ac:dyDescent="0.25">
      <c r="A60" s="17"/>
      <c r="B60" s="17"/>
      <c r="C60" s="17"/>
      <c r="D60" s="17"/>
      <c r="E60" s="17"/>
      <c r="F60" s="17"/>
      <c r="G60" s="17"/>
      <c r="H60" s="17"/>
    </row>
    <row r="61" spans="1:8" ht="15.75" customHeight="1" x14ac:dyDescent="0.25">
      <c r="A61" s="17"/>
      <c r="B61" s="17"/>
      <c r="C61" s="17"/>
      <c r="D61" s="17"/>
      <c r="E61" s="17"/>
      <c r="F61" s="17"/>
      <c r="G61" s="17"/>
      <c r="H61" s="17"/>
    </row>
    <row r="62" spans="1:8" ht="15.75" customHeight="1" x14ac:dyDescent="0.25">
      <c r="A62" s="17"/>
      <c r="B62" s="17"/>
      <c r="C62" s="17"/>
      <c r="D62" s="17"/>
      <c r="E62" s="17"/>
      <c r="F62" s="17"/>
      <c r="G62" s="17"/>
      <c r="H62" s="17"/>
    </row>
    <row r="63" spans="1:8" ht="15.75" customHeight="1" x14ac:dyDescent="0.25">
      <c r="A63" s="17"/>
      <c r="B63" s="17"/>
      <c r="C63" s="17"/>
      <c r="D63" s="17"/>
      <c r="E63" s="17"/>
      <c r="F63" s="17"/>
      <c r="G63" s="17"/>
      <c r="H63" s="17"/>
    </row>
    <row r="64" spans="1:8" ht="15.75" customHeight="1" x14ac:dyDescent="0.25">
      <c r="A64" s="17"/>
      <c r="B64" s="17"/>
      <c r="C64" s="17"/>
      <c r="D64" s="17"/>
      <c r="E64" s="17"/>
      <c r="F64" s="17"/>
      <c r="G64" s="17"/>
      <c r="H64" s="17"/>
    </row>
    <row r="65" spans="1:8" ht="15.75" customHeight="1" x14ac:dyDescent="0.25">
      <c r="A65" s="17"/>
      <c r="B65" s="17"/>
      <c r="C65" s="17"/>
      <c r="D65" s="17"/>
      <c r="E65" s="17"/>
      <c r="F65" s="17"/>
      <c r="G65" s="17"/>
      <c r="H65" s="17"/>
    </row>
    <row r="66" spans="1:8" ht="15.75" customHeight="1" x14ac:dyDescent="0.25">
      <c r="A66" s="17"/>
      <c r="B66" s="17"/>
      <c r="C66" s="17"/>
      <c r="D66" s="17"/>
      <c r="E66" s="17"/>
      <c r="F66" s="17"/>
      <c r="G66" s="17"/>
      <c r="H66" s="17"/>
    </row>
    <row r="67" spans="1:8" ht="15.75" customHeight="1" x14ac:dyDescent="0.25">
      <c r="A67" s="17"/>
      <c r="B67" s="17"/>
      <c r="C67" s="17"/>
      <c r="D67" s="17"/>
      <c r="E67" s="17"/>
      <c r="F67" s="17"/>
      <c r="G67" s="17"/>
      <c r="H67" s="17"/>
    </row>
    <row r="68" spans="1:8" ht="15.75" customHeight="1" x14ac:dyDescent="0.25">
      <c r="A68" s="17"/>
      <c r="B68" s="17"/>
      <c r="C68" s="17"/>
      <c r="D68" s="17"/>
      <c r="E68" s="17"/>
      <c r="F68" s="17"/>
      <c r="G68" s="17"/>
      <c r="H68" s="17"/>
    </row>
    <row r="69" spans="1:8" ht="15.75" customHeight="1" x14ac:dyDescent="0.25">
      <c r="A69" s="17"/>
      <c r="B69" s="17"/>
      <c r="C69" s="17"/>
      <c r="D69" s="17"/>
      <c r="E69" s="17"/>
      <c r="F69" s="17"/>
      <c r="G69" s="17"/>
      <c r="H69" s="17"/>
    </row>
    <row r="70" spans="1:8" ht="15.75" customHeight="1" x14ac:dyDescent="0.25">
      <c r="A70" s="17"/>
      <c r="B70" s="17"/>
      <c r="C70" s="17"/>
      <c r="D70" s="17"/>
      <c r="E70" s="17"/>
      <c r="F70" s="17"/>
      <c r="G70" s="17"/>
      <c r="H70" s="17"/>
    </row>
    <row r="71" spans="1:8" ht="15.75" customHeight="1" x14ac:dyDescent="0.25">
      <c r="A71" s="17"/>
      <c r="B71" s="17"/>
      <c r="C71" s="17"/>
      <c r="D71" s="17"/>
      <c r="E71" s="17"/>
      <c r="F71" s="17"/>
      <c r="G71" s="17"/>
      <c r="H71" s="17"/>
    </row>
    <row r="72" spans="1:8" ht="15.75" customHeight="1" x14ac:dyDescent="0.25">
      <c r="A72" s="17"/>
      <c r="B72" s="17"/>
      <c r="C72" s="17"/>
      <c r="D72" s="17"/>
      <c r="E72" s="17"/>
      <c r="F72" s="17"/>
      <c r="G72" s="17"/>
      <c r="H72" s="17"/>
    </row>
    <row r="73" spans="1:8" ht="15.75" customHeight="1" x14ac:dyDescent="0.25">
      <c r="A73" s="17"/>
      <c r="B73" s="17"/>
      <c r="C73" s="17"/>
      <c r="D73" s="17"/>
      <c r="E73" s="17"/>
      <c r="F73" s="17"/>
      <c r="G73" s="17"/>
      <c r="H73" s="17"/>
    </row>
    <row r="74" spans="1:8" ht="15.75" customHeight="1" x14ac:dyDescent="0.25">
      <c r="A74" s="17"/>
      <c r="B74" s="17"/>
      <c r="C74" s="17"/>
      <c r="D74" s="17"/>
      <c r="E74" s="17"/>
      <c r="F74" s="17"/>
      <c r="G74" s="17"/>
      <c r="H74" s="17"/>
    </row>
    <row r="75" spans="1:8" ht="15.75" customHeight="1" x14ac:dyDescent="0.25">
      <c r="A75" s="17"/>
      <c r="B75" s="17"/>
      <c r="C75" s="17"/>
      <c r="D75" s="17"/>
      <c r="E75" s="17"/>
      <c r="F75" s="17"/>
      <c r="G75" s="17"/>
      <c r="H75" s="17"/>
    </row>
    <row r="76" spans="1:8" ht="15.75" customHeight="1" x14ac:dyDescent="0.25">
      <c r="A76" s="17"/>
      <c r="B76" s="17"/>
      <c r="C76" s="17"/>
      <c r="D76" s="17"/>
      <c r="E76" s="17"/>
      <c r="F76" s="17"/>
      <c r="G76" s="17"/>
      <c r="H76" s="17"/>
    </row>
    <row r="77" spans="1:8" ht="15.75" customHeight="1" x14ac:dyDescent="0.25">
      <c r="A77" s="17"/>
      <c r="B77" s="17"/>
      <c r="C77" s="17"/>
      <c r="D77" s="17"/>
      <c r="E77" s="17"/>
      <c r="F77" s="17"/>
      <c r="G77" s="17"/>
      <c r="H77" s="17"/>
    </row>
    <row r="78" spans="1:8" ht="15.75" customHeight="1" x14ac:dyDescent="0.25">
      <c r="A78" s="17"/>
      <c r="B78" s="17"/>
      <c r="C78" s="17"/>
      <c r="D78" s="17"/>
      <c r="E78" s="17"/>
      <c r="F78" s="17"/>
      <c r="G78" s="17"/>
      <c r="H78" s="17"/>
    </row>
    <row r="79" spans="1:8" ht="15.75" customHeight="1" x14ac:dyDescent="0.25">
      <c r="A79" s="17"/>
      <c r="B79" s="17"/>
      <c r="C79" s="17"/>
      <c r="D79" s="17"/>
      <c r="E79" s="17"/>
      <c r="F79" s="17"/>
      <c r="G79" s="17"/>
      <c r="H79" s="17"/>
    </row>
    <row r="80" spans="1:8" ht="15.75" customHeight="1" x14ac:dyDescent="0.25">
      <c r="A80" s="17"/>
      <c r="B80" s="17"/>
      <c r="C80" s="17"/>
      <c r="D80" s="17"/>
      <c r="E80" s="17"/>
      <c r="F80" s="17"/>
      <c r="G80" s="17"/>
      <c r="H80" s="17"/>
    </row>
    <row r="81" spans="1:8" ht="15.75" customHeight="1" x14ac:dyDescent="0.25">
      <c r="A81" s="17"/>
      <c r="B81" s="17"/>
      <c r="C81" s="17"/>
      <c r="D81" s="17"/>
      <c r="E81" s="17"/>
      <c r="F81" s="17"/>
      <c r="G81" s="17"/>
      <c r="H81" s="17"/>
    </row>
    <row r="82" spans="1:8" ht="15.75" customHeight="1" x14ac:dyDescent="0.25">
      <c r="A82" s="17"/>
      <c r="B82" s="17"/>
      <c r="C82" s="17"/>
      <c r="D82" s="17"/>
      <c r="E82" s="17"/>
      <c r="F82" s="17"/>
      <c r="G82" s="17"/>
      <c r="H82" s="17"/>
    </row>
    <row r="83" spans="1:8" ht="15.75" customHeight="1" x14ac:dyDescent="0.25">
      <c r="A83" s="17"/>
      <c r="B83" s="17"/>
      <c r="C83" s="17"/>
      <c r="D83" s="17"/>
      <c r="E83" s="17"/>
      <c r="F83" s="17"/>
      <c r="G83" s="17"/>
      <c r="H83" s="17"/>
    </row>
    <row r="84" spans="1:8" ht="15.75" customHeight="1" x14ac:dyDescent="0.25">
      <c r="A84" s="17"/>
      <c r="B84" s="17"/>
      <c r="C84" s="17"/>
      <c r="D84" s="17"/>
      <c r="E84" s="17"/>
      <c r="F84" s="17"/>
      <c r="G84" s="17"/>
      <c r="H84" s="17"/>
    </row>
    <row r="85" spans="1:8" ht="15.75" customHeight="1" x14ac:dyDescent="0.25">
      <c r="A85" s="17"/>
      <c r="B85" s="17"/>
      <c r="C85" s="17"/>
      <c r="D85" s="17"/>
      <c r="E85" s="17"/>
      <c r="F85" s="17"/>
      <c r="G85" s="17"/>
      <c r="H85" s="17"/>
    </row>
    <row r="86" spans="1:8" ht="15.75" customHeight="1" x14ac:dyDescent="0.25">
      <c r="A86" s="17"/>
      <c r="B86" s="17"/>
      <c r="C86" s="17"/>
      <c r="D86" s="17"/>
      <c r="E86" s="17"/>
      <c r="F86" s="17"/>
      <c r="G86" s="17"/>
      <c r="H86" s="17"/>
    </row>
    <row r="87" spans="1:8" ht="15.75" customHeight="1" x14ac:dyDescent="0.25">
      <c r="A87" s="17"/>
      <c r="B87" s="17"/>
      <c r="C87" s="17"/>
      <c r="D87" s="17"/>
      <c r="E87" s="17"/>
      <c r="F87" s="17"/>
      <c r="G87" s="17"/>
      <c r="H87" s="17"/>
    </row>
    <row r="88" spans="1:8" ht="15.75" customHeight="1" x14ac:dyDescent="0.25">
      <c r="A88" s="17"/>
      <c r="B88" s="17"/>
      <c r="C88" s="17"/>
      <c r="D88" s="17"/>
      <c r="E88" s="17"/>
      <c r="F88" s="17"/>
      <c r="G88" s="17"/>
      <c r="H88" s="17"/>
    </row>
    <row r="89" spans="1:8" ht="15.75" customHeight="1" x14ac:dyDescent="0.25">
      <c r="A89" s="17"/>
      <c r="B89" s="17"/>
      <c r="C89" s="17"/>
      <c r="D89" s="17"/>
      <c r="E89" s="17"/>
      <c r="F89" s="17"/>
      <c r="G89" s="17"/>
      <c r="H89" s="17"/>
    </row>
    <row r="90" spans="1:8" ht="15.75" customHeight="1" x14ac:dyDescent="0.25">
      <c r="A90" s="17"/>
      <c r="B90" s="17"/>
      <c r="C90" s="17"/>
      <c r="D90" s="17"/>
      <c r="E90" s="17"/>
      <c r="F90" s="17"/>
      <c r="G90" s="17"/>
      <c r="H90" s="17"/>
    </row>
    <row r="91" spans="1:8" ht="15.75" customHeight="1" x14ac:dyDescent="0.25">
      <c r="A91" s="17"/>
      <c r="B91" s="17"/>
      <c r="C91" s="17"/>
      <c r="D91" s="17"/>
      <c r="E91" s="17"/>
      <c r="F91" s="17"/>
      <c r="G91" s="17"/>
      <c r="H91" s="17"/>
    </row>
    <row r="92" spans="1:8" ht="15.75" customHeight="1" x14ac:dyDescent="0.25">
      <c r="A92" s="17"/>
      <c r="B92" s="17"/>
      <c r="C92" s="17"/>
      <c r="D92" s="17"/>
      <c r="E92" s="17"/>
      <c r="F92" s="17"/>
      <c r="G92" s="17"/>
      <c r="H92" s="17"/>
    </row>
    <row r="93" spans="1:8" ht="15.75" customHeight="1" x14ac:dyDescent="0.25">
      <c r="A93" s="17"/>
      <c r="B93" s="17"/>
      <c r="C93" s="17"/>
      <c r="D93" s="17"/>
      <c r="E93" s="17"/>
      <c r="F93" s="17"/>
      <c r="G93" s="17"/>
      <c r="H93" s="17"/>
    </row>
    <row r="94" spans="1:8" ht="15.75" customHeight="1" x14ac:dyDescent="0.25">
      <c r="A94" s="17"/>
      <c r="B94" s="17"/>
      <c r="C94" s="17"/>
      <c r="D94" s="17"/>
      <c r="E94" s="17"/>
      <c r="F94" s="17"/>
      <c r="G94" s="17"/>
      <c r="H94" s="17"/>
    </row>
    <row r="95" spans="1:8" ht="15.75" customHeight="1" x14ac:dyDescent="0.25">
      <c r="A95" s="17"/>
      <c r="B95" s="17"/>
      <c r="C95" s="17"/>
      <c r="D95" s="17"/>
      <c r="E95" s="17"/>
      <c r="F95" s="17"/>
      <c r="G95" s="17"/>
      <c r="H95" s="17"/>
    </row>
    <row r="96" spans="1:8" ht="15.75" customHeight="1" x14ac:dyDescent="0.25">
      <c r="A96" s="17"/>
      <c r="B96" s="17"/>
      <c r="C96" s="17"/>
      <c r="D96" s="17"/>
      <c r="E96" s="17"/>
      <c r="F96" s="17"/>
      <c r="G96" s="17"/>
      <c r="H96" s="17"/>
    </row>
    <row r="97" spans="1:8" ht="15.75" customHeight="1" x14ac:dyDescent="0.25">
      <c r="A97" s="17"/>
      <c r="B97" s="17"/>
      <c r="C97" s="17"/>
      <c r="D97" s="17"/>
      <c r="E97" s="17"/>
      <c r="F97" s="17"/>
      <c r="G97" s="17"/>
      <c r="H97" s="17"/>
    </row>
    <row r="98" spans="1:8" ht="15.75" customHeight="1" x14ac:dyDescent="0.25">
      <c r="A98" s="17"/>
      <c r="B98" s="17"/>
      <c r="C98" s="17"/>
      <c r="D98" s="17"/>
      <c r="E98" s="17"/>
      <c r="F98" s="17"/>
      <c r="G98" s="17"/>
      <c r="H98" s="17"/>
    </row>
    <row r="99" spans="1:8" ht="15.75" customHeight="1" x14ac:dyDescent="0.25">
      <c r="A99" s="17"/>
      <c r="B99" s="17"/>
      <c r="C99" s="17"/>
      <c r="D99" s="17"/>
      <c r="E99" s="17"/>
      <c r="F99" s="17"/>
      <c r="G99" s="17"/>
      <c r="H99" s="17"/>
    </row>
    <row r="100" spans="1:8" ht="15.75" customHeight="1" x14ac:dyDescent="0.25">
      <c r="A100" s="17"/>
      <c r="B100" s="17"/>
      <c r="C100" s="17"/>
      <c r="D100" s="17"/>
      <c r="E100" s="17"/>
      <c r="F100" s="17"/>
      <c r="G100" s="17"/>
      <c r="H100" s="17"/>
    </row>
  </sheetData>
  <mergeCells count="19">
    <mergeCell ref="A1:H1"/>
    <mergeCell ref="A2:B2"/>
    <mergeCell ref="C2:D2"/>
    <mergeCell ref="E2:F2"/>
    <mergeCell ref="G2:H2"/>
    <mergeCell ref="A5:H5"/>
    <mergeCell ref="A32:D32"/>
    <mergeCell ref="A33:D33"/>
    <mergeCell ref="A34:D34"/>
    <mergeCell ref="C3:D3"/>
    <mergeCell ref="A17:D17"/>
    <mergeCell ref="A18:D18"/>
    <mergeCell ref="A19:D19"/>
    <mergeCell ref="A21:H21"/>
    <mergeCell ref="A29:D29"/>
    <mergeCell ref="A31:H31"/>
    <mergeCell ref="E3:F3"/>
    <mergeCell ref="G3:H3"/>
    <mergeCell ref="A3:B3"/>
  </mergeCells>
  <pageMargins left="0.75" right="0.75" top="1" bottom="1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2E86AB"/>
  </sheetPr>
  <dimension ref="A1:H100"/>
  <sheetViews>
    <sheetView workbookViewId="0">
      <selection sqref="A1:H1"/>
    </sheetView>
  </sheetViews>
  <sheetFormatPr defaultColWidth="14.42578125" defaultRowHeight="15" customHeight="1" x14ac:dyDescent="0.25"/>
  <cols>
    <col min="1" max="1" width="10" customWidth="1"/>
    <col min="2" max="2" width="26" customWidth="1"/>
    <col min="3" max="7" width="16" customWidth="1"/>
    <col min="8" max="8" width="20" customWidth="1"/>
  </cols>
  <sheetData>
    <row r="1" spans="1:8" ht="27.75" customHeight="1" x14ac:dyDescent="0.25">
      <c r="A1" s="163" t="s">
        <v>271</v>
      </c>
      <c r="B1" s="146"/>
      <c r="C1" s="146"/>
      <c r="D1" s="146"/>
      <c r="E1" s="146"/>
      <c r="F1" s="146"/>
      <c r="G1" s="146"/>
      <c r="H1" s="147"/>
    </row>
    <row r="2" spans="1:8" ht="18" customHeight="1" x14ac:dyDescent="0.25">
      <c r="A2" s="164" t="s">
        <v>34</v>
      </c>
      <c r="B2" s="147"/>
      <c r="C2" s="164" t="s">
        <v>35</v>
      </c>
      <c r="D2" s="147"/>
      <c r="E2" s="164" t="s">
        <v>36</v>
      </c>
      <c r="F2" s="147"/>
      <c r="G2" s="164" t="s">
        <v>37</v>
      </c>
      <c r="H2" s="147"/>
    </row>
    <row r="3" spans="1:8" ht="21.75" customHeight="1" x14ac:dyDescent="0.25">
      <c r="A3" s="162">
        <f>E29</f>
        <v>4275</v>
      </c>
      <c r="B3" s="147"/>
      <c r="C3" s="154">
        <f>E19</f>
        <v>3080</v>
      </c>
      <c r="D3" s="147"/>
      <c r="E3" s="160">
        <f>E29-E19</f>
        <v>1195</v>
      </c>
      <c r="F3" s="147"/>
      <c r="G3" s="161">
        <f>IF(E29&gt;0,(E29-E19)/E29,0)</f>
        <v>0.27953216374269008</v>
      </c>
      <c r="H3" s="147"/>
    </row>
    <row r="4" spans="1:8" ht="14.25" customHeight="1" x14ac:dyDescent="0.25">
      <c r="A4" s="17"/>
      <c r="B4" s="17"/>
      <c r="C4" s="17"/>
      <c r="D4" s="17"/>
      <c r="E4" s="17"/>
      <c r="F4" s="17"/>
      <c r="G4" s="17"/>
      <c r="H4" s="17"/>
    </row>
    <row r="5" spans="1:8" ht="19.5" customHeight="1" x14ac:dyDescent="0.25">
      <c r="A5" s="150" t="s">
        <v>272</v>
      </c>
      <c r="B5" s="146"/>
      <c r="C5" s="146"/>
      <c r="D5" s="146"/>
      <c r="E5" s="146"/>
      <c r="F5" s="146"/>
      <c r="G5" s="146"/>
      <c r="H5" s="147"/>
    </row>
    <row r="6" spans="1:8" ht="15" customHeight="1" x14ac:dyDescent="0.25">
      <c r="A6" s="36" t="s">
        <v>22</v>
      </c>
      <c r="B6" s="36" t="s">
        <v>39</v>
      </c>
      <c r="C6" s="36" t="s">
        <v>40</v>
      </c>
      <c r="D6" s="36" t="s">
        <v>41</v>
      </c>
      <c r="E6" s="36" t="s">
        <v>42</v>
      </c>
      <c r="F6" s="36" t="s">
        <v>43</v>
      </c>
      <c r="G6" s="36" t="s">
        <v>44</v>
      </c>
      <c r="H6" s="36"/>
    </row>
    <row r="7" spans="1:8" ht="15" customHeight="1" x14ac:dyDescent="0.25">
      <c r="A7" s="37" t="s">
        <v>273</v>
      </c>
      <c r="B7" s="38" t="s">
        <v>46</v>
      </c>
      <c r="C7" s="37" t="s">
        <v>167</v>
      </c>
      <c r="D7" s="37" t="s">
        <v>48</v>
      </c>
      <c r="E7" s="39">
        <v>86</v>
      </c>
      <c r="F7" s="37"/>
      <c r="G7" s="37"/>
      <c r="H7" s="37"/>
    </row>
    <row r="8" spans="1:8" ht="15" customHeight="1" x14ac:dyDescent="0.25">
      <c r="A8" s="40" t="s">
        <v>273</v>
      </c>
      <c r="B8" s="41" t="s">
        <v>49</v>
      </c>
      <c r="C8" s="40"/>
      <c r="D8" s="40" t="s">
        <v>50</v>
      </c>
      <c r="E8" s="42">
        <v>216</v>
      </c>
      <c r="F8" s="40"/>
      <c r="G8" s="40"/>
      <c r="H8" s="40"/>
    </row>
    <row r="9" spans="1:8" ht="15" customHeight="1" x14ac:dyDescent="0.25">
      <c r="A9" s="37" t="s">
        <v>273</v>
      </c>
      <c r="B9" s="38" t="s">
        <v>51</v>
      </c>
      <c r="C9" s="37"/>
      <c r="D9" s="37" t="s">
        <v>50</v>
      </c>
      <c r="E9" s="39">
        <v>230</v>
      </c>
      <c r="F9" s="37"/>
      <c r="G9" s="37"/>
      <c r="H9" s="37"/>
    </row>
    <row r="10" spans="1:8" ht="15" customHeight="1" x14ac:dyDescent="0.25">
      <c r="A10" s="40" t="s">
        <v>273</v>
      </c>
      <c r="B10" s="41" t="s">
        <v>52</v>
      </c>
      <c r="C10" s="40"/>
      <c r="D10" s="40" t="s">
        <v>50</v>
      </c>
      <c r="E10" s="42">
        <v>95</v>
      </c>
      <c r="F10" s="40"/>
      <c r="G10" s="40"/>
      <c r="H10" s="40"/>
    </row>
    <row r="11" spans="1:8" ht="15" customHeight="1" x14ac:dyDescent="0.25">
      <c r="A11" s="37" t="s">
        <v>273</v>
      </c>
      <c r="B11" s="38" t="s">
        <v>53</v>
      </c>
      <c r="C11" s="37"/>
      <c r="D11" s="37" t="s">
        <v>50</v>
      </c>
      <c r="E11" s="39">
        <v>120</v>
      </c>
      <c r="F11" s="37"/>
      <c r="G11" s="37"/>
      <c r="H11" s="37"/>
    </row>
    <row r="12" spans="1:8" ht="15" customHeight="1" x14ac:dyDescent="0.25">
      <c r="A12" s="40" t="s">
        <v>273</v>
      </c>
      <c r="B12" s="41" t="s">
        <v>54</v>
      </c>
      <c r="C12" s="40"/>
      <c r="D12" s="40" t="s">
        <v>50</v>
      </c>
      <c r="E12" s="42">
        <v>288</v>
      </c>
      <c r="F12" s="40"/>
      <c r="G12" s="40"/>
      <c r="H12" s="40"/>
    </row>
    <row r="13" spans="1:8" ht="15" customHeight="1" x14ac:dyDescent="0.25">
      <c r="A13" s="37" t="s">
        <v>273</v>
      </c>
      <c r="B13" s="38" t="s">
        <v>55</v>
      </c>
      <c r="C13" s="37"/>
      <c r="D13" s="37" t="s">
        <v>50</v>
      </c>
      <c r="E13" s="39">
        <v>135</v>
      </c>
      <c r="F13" s="37"/>
      <c r="G13" s="37"/>
      <c r="H13" s="37"/>
    </row>
    <row r="14" spans="1:8" ht="15" customHeight="1" x14ac:dyDescent="0.25">
      <c r="A14" s="40" t="s">
        <v>273</v>
      </c>
      <c r="B14" s="40" t="s">
        <v>126</v>
      </c>
      <c r="C14" s="31"/>
      <c r="D14" s="40" t="s">
        <v>50</v>
      </c>
      <c r="E14" s="107">
        <f>'💳 Empréstimo'!F39</f>
        <v>560</v>
      </c>
      <c r="F14" s="31"/>
      <c r="G14" s="40" t="s">
        <v>274</v>
      </c>
      <c r="H14" s="31"/>
    </row>
    <row r="15" spans="1:8" ht="15" customHeight="1" x14ac:dyDescent="0.25">
      <c r="A15" s="31"/>
      <c r="B15" s="31"/>
      <c r="C15" s="31"/>
      <c r="D15" s="31"/>
      <c r="E15" s="29"/>
      <c r="F15" s="31"/>
      <c r="G15" s="31"/>
      <c r="H15" s="31"/>
    </row>
    <row r="16" spans="1:8" ht="15" customHeight="1" x14ac:dyDescent="0.25">
      <c r="A16" s="31"/>
      <c r="B16" s="31"/>
      <c r="C16" s="31"/>
      <c r="D16" s="31"/>
      <c r="E16" s="29"/>
      <c r="F16" s="31"/>
      <c r="G16" s="31"/>
      <c r="H16" s="31"/>
    </row>
    <row r="17" spans="1:8" ht="15" customHeight="1" x14ac:dyDescent="0.25">
      <c r="A17" s="155" t="s">
        <v>56</v>
      </c>
      <c r="B17" s="152"/>
      <c r="C17" s="152"/>
      <c r="D17" s="153"/>
      <c r="E17" s="43">
        <f>SUM(E7:E16)</f>
        <v>1730</v>
      </c>
      <c r="F17" s="44"/>
      <c r="G17" s="44"/>
      <c r="H17" s="44"/>
    </row>
    <row r="18" spans="1:8" ht="15" customHeight="1" x14ac:dyDescent="0.25">
      <c r="A18" s="156" t="s">
        <v>57</v>
      </c>
      <c r="B18" s="152"/>
      <c r="C18" s="152"/>
      <c r="D18" s="153"/>
      <c r="E18" s="45">
        <v>1350</v>
      </c>
      <c r="F18" s="44"/>
      <c r="G18" s="44"/>
      <c r="H18" s="44"/>
    </row>
    <row r="19" spans="1:8" ht="15" customHeight="1" x14ac:dyDescent="0.25">
      <c r="A19" s="157" t="s">
        <v>58</v>
      </c>
      <c r="B19" s="152"/>
      <c r="C19" s="152"/>
      <c r="D19" s="153"/>
      <c r="E19" s="46">
        <f>E17+E18</f>
        <v>3080</v>
      </c>
      <c r="F19" s="47"/>
      <c r="G19" s="47"/>
      <c r="H19" s="47"/>
    </row>
    <row r="20" spans="1:8" ht="14.25" customHeight="1" x14ac:dyDescent="0.25">
      <c r="A20" s="17"/>
      <c r="B20" s="17"/>
      <c r="C20" s="17"/>
      <c r="D20" s="17"/>
      <c r="E20" s="17"/>
      <c r="F20" s="17"/>
      <c r="G20" s="17"/>
      <c r="H20" s="17"/>
    </row>
    <row r="21" spans="1:8" ht="19.5" customHeight="1" x14ac:dyDescent="0.25">
      <c r="A21" s="158" t="s">
        <v>275</v>
      </c>
      <c r="B21" s="146"/>
      <c r="C21" s="146"/>
      <c r="D21" s="146"/>
      <c r="E21" s="146"/>
      <c r="F21" s="146"/>
      <c r="G21" s="146"/>
      <c r="H21" s="147"/>
    </row>
    <row r="22" spans="1:8" ht="15" customHeight="1" x14ac:dyDescent="0.25">
      <c r="A22" s="48" t="s">
        <v>22</v>
      </c>
      <c r="B22" s="48" t="s">
        <v>39</v>
      </c>
      <c r="C22" s="48" t="s">
        <v>40</v>
      </c>
      <c r="D22" s="48" t="s">
        <v>41</v>
      </c>
      <c r="E22" s="48" t="s">
        <v>42</v>
      </c>
      <c r="F22" s="48" t="s">
        <v>60</v>
      </c>
      <c r="G22" s="48" t="s">
        <v>44</v>
      </c>
      <c r="H22" s="48"/>
    </row>
    <row r="23" spans="1:8" ht="15" customHeight="1" x14ac:dyDescent="0.25">
      <c r="A23" s="49" t="s">
        <v>273</v>
      </c>
      <c r="B23" s="50" t="s">
        <v>61</v>
      </c>
      <c r="C23" s="49" t="s">
        <v>62</v>
      </c>
      <c r="D23" s="49" t="s">
        <v>50</v>
      </c>
      <c r="E23" s="51">
        <v>1475</v>
      </c>
      <c r="F23" s="49"/>
      <c r="G23" s="49"/>
      <c r="H23" s="49"/>
    </row>
    <row r="24" spans="1:8" ht="15" customHeight="1" x14ac:dyDescent="0.25">
      <c r="A24" s="52" t="s">
        <v>273</v>
      </c>
      <c r="B24" s="53" t="s">
        <v>63</v>
      </c>
      <c r="C24" s="52" t="s">
        <v>62</v>
      </c>
      <c r="D24" s="52" t="s">
        <v>50</v>
      </c>
      <c r="E24" s="54">
        <v>1300</v>
      </c>
      <c r="F24" s="52"/>
      <c r="G24" s="52"/>
      <c r="H24" s="52"/>
    </row>
    <row r="25" spans="1:8" ht="15" customHeight="1" x14ac:dyDescent="0.25">
      <c r="A25" s="49" t="s">
        <v>273</v>
      </c>
      <c r="B25" s="50" t="s">
        <v>64</v>
      </c>
      <c r="C25" s="49" t="s">
        <v>62</v>
      </c>
      <c r="D25" s="49" t="s">
        <v>50</v>
      </c>
      <c r="E25" s="51">
        <v>1500</v>
      </c>
      <c r="F25" s="49"/>
      <c r="G25" s="49"/>
      <c r="H25" s="49"/>
    </row>
    <row r="26" spans="1:8" ht="15" customHeight="1" x14ac:dyDescent="0.25">
      <c r="A26" s="52"/>
      <c r="B26" s="53"/>
      <c r="C26" s="52"/>
      <c r="D26" s="52"/>
      <c r="E26" s="54"/>
      <c r="F26" s="52"/>
      <c r="G26" s="52"/>
      <c r="H26" s="52"/>
    </row>
    <row r="27" spans="1:8" ht="15" customHeight="1" x14ac:dyDescent="0.25">
      <c r="A27" s="55"/>
      <c r="B27" s="55"/>
      <c r="C27" s="55"/>
      <c r="D27" s="55"/>
      <c r="E27" s="56"/>
      <c r="F27" s="55"/>
      <c r="G27" s="55"/>
      <c r="H27" s="55"/>
    </row>
    <row r="28" spans="1:8" ht="15" customHeight="1" x14ac:dyDescent="0.25">
      <c r="A28" s="55"/>
      <c r="B28" s="55"/>
      <c r="C28" s="55"/>
      <c r="D28" s="55"/>
      <c r="E28" s="56"/>
      <c r="F28" s="55"/>
      <c r="G28" s="55"/>
      <c r="H28" s="55"/>
    </row>
    <row r="29" spans="1:8" ht="15" customHeight="1" x14ac:dyDescent="0.25">
      <c r="A29" s="157" t="s">
        <v>66</v>
      </c>
      <c r="B29" s="152"/>
      <c r="C29" s="152"/>
      <c r="D29" s="153"/>
      <c r="E29" s="46">
        <f>SUM(E23:E28)</f>
        <v>4275</v>
      </c>
      <c r="F29" s="47"/>
      <c r="G29" s="47"/>
      <c r="H29" s="47"/>
    </row>
    <row r="30" spans="1:8" ht="15.75" customHeight="1" x14ac:dyDescent="0.25">
      <c r="A30" s="17"/>
      <c r="B30" s="17"/>
      <c r="C30" s="17"/>
      <c r="D30" s="17"/>
      <c r="E30" s="17"/>
      <c r="F30" s="17"/>
      <c r="G30" s="17"/>
      <c r="H30" s="17"/>
    </row>
    <row r="31" spans="1:8" ht="19.5" customHeight="1" x14ac:dyDescent="0.25">
      <c r="A31" s="159" t="s">
        <v>67</v>
      </c>
      <c r="B31" s="146"/>
      <c r="C31" s="146"/>
      <c r="D31" s="146"/>
      <c r="E31" s="146"/>
      <c r="F31" s="146"/>
      <c r="G31" s="146"/>
      <c r="H31" s="147"/>
    </row>
    <row r="32" spans="1:8" ht="15" customHeight="1" x14ac:dyDescent="0.25">
      <c r="A32" s="151" t="s">
        <v>68</v>
      </c>
      <c r="B32" s="152"/>
      <c r="C32" s="152"/>
      <c r="D32" s="153"/>
      <c r="E32" s="57">
        <f>E29-E19</f>
        <v>1195</v>
      </c>
      <c r="F32" s="58"/>
      <c r="G32" s="58"/>
      <c r="H32" s="58"/>
    </row>
    <row r="33" spans="1:8" ht="15" customHeight="1" x14ac:dyDescent="0.25">
      <c r="A33" s="151" t="s">
        <v>76</v>
      </c>
      <c r="B33" s="152"/>
      <c r="C33" s="152"/>
      <c r="D33" s="153"/>
      <c r="E33" s="57">
        <f>0.7*(E29-E19)</f>
        <v>836.5</v>
      </c>
      <c r="F33" s="58"/>
      <c r="G33" s="58"/>
      <c r="H33" s="58"/>
    </row>
    <row r="34" spans="1:8" ht="15" customHeight="1" x14ac:dyDescent="0.25">
      <c r="A34" s="151" t="s">
        <v>70</v>
      </c>
      <c r="B34" s="152"/>
      <c r="C34" s="152"/>
      <c r="D34" s="153"/>
      <c r="E34" s="57">
        <f>E19/6</f>
        <v>513.33333333333337</v>
      </c>
      <c r="F34" s="58"/>
      <c r="G34" s="58"/>
      <c r="H34" s="58"/>
    </row>
    <row r="35" spans="1:8" ht="15.75" customHeight="1" x14ac:dyDescent="0.25">
      <c r="A35" s="17"/>
      <c r="B35" s="17"/>
      <c r="C35" s="17"/>
      <c r="D35" s="17"/>
      <c r="E35" s="17"/>
      <c r="F35" s="17"/>
      <c r="G35" s="17"/>
      <c r="H35" s="17"/>
    </row>
    <row r="36" spans="1:8" ht="15.75" customHeight="1" x14ac:dyDescent="0.25">
      <c r="A36" s="17"/>
      <c r="B36" s="17"/>
      <c r="C36" s="17"/>
      <c r="D36" s="17"/>
      <c r="E36" s="17"/>
      <c r="F36" s="17"/>
      <c r="G36" s="17"/>
      <c r="H36" s="17"/>
    </row>
    <row r="37" spans="1:8" ht="15.75" customHeight="1" x14ac:dyDescent="0.25">
      <c r="A37" s="17"/>
      <c r="B37" s="17"/>
      <c r="C37" s="17"/>
      <c r="D37" s="17"/>
      <c r="E37" s="17"/>
      <c r="F37" s="17"/>
      <c r="G37" s="17"/>
      <c r="H37" s="17"/>
    </row>
    <row r="38" spans="1:8" ht="15.75" customHeight="1" x14ac:dyDescent="0.25">
      <c r="A38" s="17"/>
      <c r="B38" s="17"/>
      <c r="C38" s="17"/>
      <c r="D38" s="17"/>
      <c r="E38" s="17"/>
      <c r="F38" s="17"/>
      <c r="G38" s="17"/>
      <c r="H38" s="17"/>
    </row>
    <row r="39" spans="1:8" ht="15.75" customHeight="1" x14ac:dyDescent="0.25">
      <c r="A39" s="17"/>
      <c r="B39" s="17"/>
      <c r="C39" s="17"/>
      <c r="D39" s="17"/>
      <c r="E39" s="17"/>
      <c r="F39" s="17"/>
      <c r="G39" s="17"/>
      <c r="H39" s="17"/>
    </row>
    <row r="40" spans="1:8" ht="15.75" customHeight="1" x14ac:dyDescent="0.25">
      <c r="A40" s="17"/>
      <c r="B40" s="17"/>
      <c r="C40" s="17"/>
      <c r="D40" s="17"/>
      <c r="E40" s="17"/>
      <c r="F40" s="17"/>
      <c r="G40" s="17"/>
      <c r="H40" s="17"/>
    </row>
    <row r="41" spans="1:8" ht="15.75" customHeight="1" x14ac:dyDescent="0.25">
      <c r="A41" s="17"/>
      <c r="B41" s="17"/>
      <c r="C41" s="17"/>
      <c r="D41" s="17"/>
      <c r="E41" s="17"/>
      <c r="F41" s="17"/>
      <c r="G41" s="17"/>
      <c r="H41" s="17"/>
    </row>
    <row r="42" spans="1:8" ht="15.75" customHeight="1" x14ac:dyDescent="0.25">
      <c r="A42" s="17"/>
      <c r="B42" s="17"/>
      <c r="C42" s="17"/>
      <c r="D42" s="17"/>
      <c r="E42" s="17"/>
      <c r="F42" s="17"/>
      <c r="G42" s="17"/>
      <c r="H42" s="17"/>
    </row>
    <row r="43" spans="1:8" ht="15.75" customHeight="1" x14ac:dyDescent="0.25">
      <c r="A43" s="17"/>
      <c r="B43" s="17"/>
      <c r="C43" s="17"/>
      <c r="D43" s="17"/>
      <c r="E43" s="17"/>
      <c r="F43" s="17"/>
      <c r="G43" s="17"/>
      <c r="H43" s="17"/>
    </row>
    <row r="44" spans="1:8" ht="15.75" customHeight="1" x14ac:dyDescent="0.25">
      <c r="A44" s="17"/>
      <c r="B44" s="17"/>
      <c r="C44" s="17"/>
      <c r="D44" s="17"/>
      <c r="E44" s="17"/>
      <c r="F44" s="17"/>
      <c r="G44" s="17"/>
      <c r="H44" s="17"/>
    </row>
    <row r="45" spans="1:8" ht="15.75" customHeight="1" x14ac:dyDescent="0.25">
      <c r="A45" s="17"/>
      <c r="B45" s="17"/>
      <c r="C45" s="17"/>
      <c r="D45" s="17"/>
      <c r="E45" s="17"/>
      <c r="F45" s="17"/>
      <c r="G45" s="17"/>
      <c r="H45" s="17"/>
    </row>
    <row r="46" spans="1:8" ht="15.75" customHeight="1" x14ac:dyDescent="0.25">
      <c r="A46" s="17"/>
      <c r="B46" s="17"/>
      <c r="C46" s="17"/>
      <c r="D46" s="17"/>
      <c r="E46" s="17"/>
      <c r="F46" s="17"/>
      <c r="G46" s="17"/>
      <c r="H46" s="17"/>
    </row>
    <row r="47" spans="1:8" ht="15.75" customHeight="1" x14ac:dyDescent="0.25">
      <c r="A47" s="17"/>
      <c r="B47" s="17"/>
      <c r="C47" s="17"/>
      <c r="D47" s="17"/>
      <c r="E47" s="17"/>
      <c r="F47" s="17"/>
      <c r="G47" s="17"/>
      <c r="H47" s="17"/>
    </row>
    <row r="48" spans="1:8" ht="15.75" customHeight="1" x14ac:dyDescent="0.25">
      <c r="A48" s="17"/>
      <c r="B48" s="17"/>
      <c r="C48" s="17"/>
      <c r="D48" s="17"/>
      <c r="E48" s="17"/>
      <c r="F48" s="17"/>
      <c r="G48" s="17"/>
      <c r="H48" s="17"/>
    </row>
    <row r="49" spans="1:8" ht="15.75" customHeight="1" x14ac:dyDescent="0.25">
      <c r="A49" s="17"/>
      <c r="B49" s="17"/>
      <c r="C49" s="17"/>
      <c r="D49" s="17"/>
      <c r="E49" s="17"/>
      <c r="F49" s="17"/>
      <c r="G49" s="17"/>
      <c r="H49" s="17"/>
    </row>
    <row r="50" spans="1:8" ht="15.75" customHeight="1" x14ac:dyDescent="0.25">
      <c r="A50" s="17"/>
      <c r="B50" s="17"/>
      <c r="C50" s="17"/>
      <c r="D50" s="17"/>
      <c r="E50" s="17"/>
      <c r="F50" s="17"/>
      <c r="G50" s="17"/>
      <c r="H50" s="17"/>
    </row>
    <row r="51" spans="1:8" ht="15.75" customHeight="1" x14ac:dyDescent="0.25">
      <c r="A51" s="17"/>
      <c r="B51" s="17"/>
      <c r="C51" s="17"/>
      <c r="D51" s="17"/>
      <c r="E51" s="17"/>
      <c r="F51" s="17"/>
      <c r="G51" s="17"/>
      <c r="H51" s="17"/>
    </row>
    <row r="52" spans="1:8" ht="15.75" customHeight="1" x14ac:dyDescent="0.25">
      <c r="A52" s="17"/>
      <c r="B52" s="17"/>
      <c r="C52" s="17"/>
      <c r="D52" s="17"/>
      <c r="E52" s="17"/>
      <c r="F52" s="17"/>
      <c r="G52" s="17"/>
      <c r="H52" s="17"/>
    </row>
    <row r="53" spans="1:8" ht="15.75" customHeight="1" x14ac:dyDescent="0.25">
      <c r="A53" s="17"/>
      <c r="B53" s="17"/>
      <c r="C53" s="17"/>
      <c r="D53" s="17"/>
      <c r="E53" s="17"/>
      <c r="F53" s="17"/>
      <c r="G53" s="17"/>
      <c r="H53" s="17"/>
    </row>
    <row r="54" spans="1:8" ht="15.75" customHeight="1" x14ac:dyDescent="0.25">
      <c r="A54" s="17"/>
      <c r="B54" s="17"/>
      <c r="C54" s="17"/>
      <c r="D54" s="17"/>
      <c r="E54" s="17"/>
      <c r="F54" s="17"/>
      <c r="G54" s="17"/>
      <c r="H54" s="17"/>
    </row>
    <row r="55" spans="1:8" ht="15.75" customHeight="1" x14ac:dyDescent="0.25">
      <c r="A55" s="17"/>
      <c r="B55" s="17"/>
      <c r="C55" s="17"/>
      <c r="D55" s="17"/>
      <c r="E55" s="17"/>
      <c r="F55" s="17"/>
      <c r="G55" s="17"/>
      <c r="H55" s="17"/>
    </row>
    <row r="56" spans="1:8" ht="15.75" customHeight="1" x14ac:dyDescent="0.25">
      <c r="A56" s="17"/>
      <c r="B56" s="17"/>
      <c r="C56" s="17"/>
      <c r="D56" s="17"/>
      <c r="E56" s="17"/>
      <c r="F56" s="17"/>
      <c r="G56" s="17"/>
      <c r="H56" s="17"/>
    </row>
    <row r="57" spans="1:8" ht="15.75" customHeight="1" x14ac:dyDescent="0.25">
      <c r="A57" s="17"/>
      <c r="B57" s="17"/>
      <c r="C57" s="17"/>
      <c r="D57" s="17"/>
      <c r="E57" s="17"/>
      <c r="F57" s="17"/>
      <c r="G57" s="17"/>
      <c r="H57" s="17"/>
    </row>
    <row r="58" spans="1:8" ht="15.75" customHeight="1" x14ac:dyDescent="0.25">
      <c r="A58" s="17"/>
      <c r="B58" s="17"/>
      <c r="C58" s="17"/>
      <c r="D58" s="17"/>
      <c r="E58" s="17"/>
      <c r="F58" s="17"/>
      <c r="G58" s="17"/>
      <c r="H58" s="17"/>
    </row>
    <row r="59" spans="1:8" ht="15.75" customHeight="1" x14ac:dyDescent="0.25">
      <c r="A59" s="17"/>
      <c r="B59" s="17"/>
      <c r="C59" s="17"/>
      <c r="D59" s="17"/>
      <c r="E59" s="17"/>
      <c r="F59" s="17"/>
      <c r="G59" s="17"/>
      <c r="H59" s="17"/>
    </row>
    <row r="60" spans="1:8" ht="15.75" customHeight="1" x14ac:dyDescent="0.25">
      <c r="A60" s="17"/>
      <c r="B60" s="17"/>
      <c r="C60" s="17"/>
      <c r="D60" s="17"/>
      <c r="E60" s="17"/>
      <c r="F60" s="17"/>
      <c r="G60" s="17"/>
      <c r="H60" s="17"/>
    </row>
    <row r="61" spans="1:8" ht="15.75" customHeight="1" x14ac:dyDescent="0.25">
      <c r="A61" s="17"/>
      <c r="B61" s="17"/>
      <c r="C61" s="17"/>
      <c r="D61" s="17"/>
      <c r="E61" s="17"/>
      <c r="F61" s="17"/>
      <c r="G61" s="17"/>
      <c r="H61" s="17"/>
    </row>
    <row r="62" spans="1:8" ht="15.75" customHeight="1" x14ac:dyDescent="0.25">
      <c r="A62" s="17"/>
      <c r="B62" s="17"/>
      <c r="C62" s="17"/>
      <c r="D62" s="17"/>
      <c r="E62" s="17"/>
      <c r="F62" s="17"/>
      <c r="G62" s="17"/>
      <c r="H62" s="17"/>
    </row>
    <row r="63" spans="1:8" ht="15.75" customHeight="1" x14ac:dyDescent="0.25">
      <c r="A63" s="17"/>
      <c r="B63" s="17"/>
      <c r="C63" s="17"/>
      <c r="D63" s="17"/>
      <c r="E63" s="17"/>
      <c r="F63" s="17"/>
      <c r="G63" s="17"/>
      <c r="H63" s="17"/>
    </row>
    <row r="64" spans="1:8" ht="15.75" customHeight="1" x14ac:dyDescent="0.25">
      <c r="A64" s="17"/>
      <c r="B64" s="17"/>
      <c r="C64" s="17"/>
      <c r="D64" s="17"/>
      <c r="E64" s="17"/>
      <c r="F64" s="17"/>
      <c r="G64" s="17"/>
      <c r="H64" s="17"/>
    </row>
    <row r="65" spans="1:8" ht="15.75" customHeight="1" x14ac:dyDescent="0.25">
      <c r="A65" s="17"/>
      <c r="B65" s="17"/>
      <c r="C65" s="17"/>
      <c r="D65" s="17"/>
      <c r="E65" s="17"/>
      <c r="F65" s="17"/>
      <c r="G65" s="17"/>
      <c r="H65" s="17"/>
    </row>
    <row r="66" spans="1:8" ht="15.75" customHeight="1" x14ac:dyDescent="0.25">
      <c r="A66" s="17"/>
      <c r="B66" s="17"/>
      <c r="C66" s="17"/>
      <c r="D66" s="17"/>
      <c r="E66" s="17"/>
      <c r="F66" s="17"/>
      <c r="G66" s="17"/>
      <c r="H66" s="17"/>
    </row>
    <row r="67" spans="1:8" ht="15.75" customHeight="1" x14ac:dyDescent="0.25">
      <c r="A67" s="17"/>
      <c r="B67" s="17"/>
      <c r="C67" s="17"/>
      <c r="D67" s="17"/>
      <c r="E67" s="17"/>
      <c r="F67" s="17"/>
      <c r="G67" s="17"/>
      <c r="H67" s="17"/>
    </row>
    <row r="68" spans="1:8" ht="15.75" customHeight="1" x14ac:dyDescent="0.25">
      <c r="A68" s="17"/>
      <c r="B68" s="17"/>
      <c r="C68" s="17"/>
      <c r="D68" s="17"/>
      <c r="E68" s="17"/>
      <c r="F68" s="17"/>
      <c r="G68" s="17"/>
      <c r="H68" s="17"/>
    </row>
    <row r="69" spans="1:8" ht="15.75" customHeight="1" x14ac:dyDescent="0.25">
      <c r="A69" s="17"/>
      <c r="B69" s="17"/>
      <c r="C69" s="17"/>
      <c r="D69" s="17"/>
      <c r="E69" s="17"/>
      <c r="F69" s="17"/>
      <c r="G69" s="17"/>
      <c r="H69" s="17"/>
    </row>
    <row r="70" spans="1:8" ht="15.75" customHeight="1" x14ac:dyDescent="0.25">
      <c r="A70" s="17"/>
      <c r="B70" s="17"/>
      <c r="C70" s="17"/>
      <c r="D70" s="17"/>
      <c r="E70" s="17"/>
      <c r="F70" s="17"/>
      <c r="G70" s="17"/>
      <c r="H70" s="17"/>
    </row>
    <row r="71" spans="1:8" ht="15.75" customHeight="1" x14ac:dyDescent="0.25">
      <c r="A71" s="17"/>
      <c r="B71" s="17"/>
      <c r="C71" s="17"/>
      <c r="D71" s="17"/>
      <c r="E71" s="17"/>
      <c r="F71" s="17"/>
      <c r="G71" s="17"/>
      <c r="H71" s="17"/>
    </row>
    <row r="72" spans="1:8" ht="15.75" customHeight="1" x14ac:dyDescent="0.25">
      <c r="A72" s="17"/>
      <c r="B72" s="17"/>
      <c r="C72" s="17"/>
      <c r="D72" s="17"/>
      <c r="E72" s="17"/>
      <c r="F72" s="17"/>
      <c r="G72" s="17"/>
      <c r="H72" s="17"/>
    </row>
    <row r="73" spans="1:8" ht="15.75" customHeight="1" x14ac:dyDescent="0.25">
      <c r="A73" s="17"/>
      <c r="B73" s="17"/>
      <c r="C73" s="17"/>
      <c r="D73" s="17"/>
      <c r="E73" s="17"/>
      <c r="F73" s="17"/>
      <c r="G73" s="17"/>
      <c r="H73" s="17"/>
    </row>
    <row r="74" spans="1:8" ht="15.75" customHeight="1" x14ac:dyDescent="0.25">
      <c r="A74" s="17"/>
      <c r="B74" s="17"/>
      <c r="C74" s="17"/>
      <c r="D74" s="17"/>
      <c r="E74" s="17"/>
      <c r="F74" s="17"/>
      <c r="G74" s="17"/>
      <c r="H74" s="17"/>
    </row>
    <row r="75" spans="1:8" ht="15.75" customHeight="1" x14ac:dyDescent="0.25">
      <c r="A75" s="17"/>
      <c r="B75" s="17"/>
      <c r="C75" s="17"/>
      <c r="D75" s="17"/>
      <c r="E75" s="17"/>
      <c r="F75" s="17"/>
      <c r="G75" s="17"/>
      <c r="H75" s="17"/>
    </row>
    <row r="76" spans="1:8" ht="15.75" customHeight="1" x14ac:dyDescent="0.25">
      <c r="A76" s="17"/>
      <c r="B76" s="17"/>
      <c r="C76" s="17"/>
      <c r="D76" s="17"/>
      <c r="E76" s="17"/>
      <c r="F76" s="17"/>
      <c r="G76" s="17"/>
      <c r="H76" s="17"/>
    </row>
    <row r="77" spans="1:8" ht="15.75" customHeight="1" x14ac:dyDescent="0.25">
      <c r="A77" s="17"/>
      <c r="B77" s="17"/>
      <c r="C77" s="17"/>
      <c r="D77" s="17"/>
      <c r="E77" s="17"/>
      <c r="F77" s="17"/>
      <c r="G77" s="17"/>
      <c r="H77" s="17"/>
    </row>
    <row r="78" spans="1:8" ht="15.75" customHeight="1" x14ac:dyDescent="0.25">
      <c r="A78" s="17"/>
      <c r="B78" s="17"/>
      <c r="C78" s="17"/>
      <c r="D78" s="17"/>
      <c r="E78" s="17"/>
      <c r="F78" s="17"/>
      <c r="G78" s="17"/>
      <c r="H78" s="17"/>
    </row>
    <row r="79" spans="1:8" ht="15.75" customHeight="1" x14ac:dyDescent="0.25">
      <c r="A79" s="17"/>
      <c r="B79" s="17"/>
      <c r="C79" s="17"/>
      <c r="D79" s="17"/>
      <c r="E79" s="17"/>
      <c r="F79" s="17"/>
      <c r="G79" s="17"/>
      <c r="H79" s="17"/>
    </row>
    <row r="80" spans="1:8" ht="15.75" customHeight="1" x14ac:dyDescent="0.25">
      <c r="A80" s="17"/>
      <c r="B80" s="17"/>
      <c r="C80" s="17"/>
      <c r="D80" s="17"/>
      <c r="E80" s="17"/>
      <c r="F80" s="17"/>
      <c r="G80" s="17"/>
      <c r="H80" s="17"/>
    </row>
    <row r="81" spans="1:8" ht="15.75" customHeight="1" x14ac:dyDescent="0.25">
      <c r="A81" s="17"/>
      <c r="B81" s="17"/>
      <c r="C81" s="17"/>
      <c r="D81" s="17"/>
      <c r="E81" s="17"/>
      <c r="F81" s="17"/>
      <c r="G81" s="17"/>
      <c r="H81" s="17"/>
    </row>
    <row r="82" spans="1:8" ht="15.75" customHeight="1" x14ac:dyDescent="0.25">
      <c r="A82" s="17"/>
      <c r="B82" s="17"/>
      <c r="C82" s="17"/>
      <c r="D82" s="17"/>
      <c r="E82" s="17"/>
      <c r="F82" s="17"/>
      <c r="G82" s="17"/>
      <c r="H82" s="17"/>
    </row>
    <row r="83" spans="1:8" ht="15.75" customHeight="1" x14ac:dyDescent="0.25">
      <c r="A83" s="17"/>
      <c r="B83" s="17"/>
      <c r="C83" s="17"/>
      <c r="D83" s="17"/>
      <c r="E83" s="17"/>
      <c r="F83" s="17"/>
      <c r="G83" s="17"/>
      <c r="H83" s="17"/>
    </row>
    <row r="84" spans="1:8" ht="15.75" customHeight="1" x14ac:dyDescent="0.25">
      <c r="A84" s="17"/>
      <c r="B84" s="17"/>
      <c r="C84" s="17"/>
      <c r="D84" s="17"/>
      <c r="E84" s="17"/>
      <c r="F84" s="17"/>
      <c r="G84" s="17"/>
      <c r="H84" s="17"/>
    </row>
    <row r="85" spans="1:8" ht="15.75" customHeight="1" x14ac:dyDescent="0.25">
      <c r="A85" s="17"/>
      <c r="B85" s="17"/>
      <c r="C85" s="17"/>
      <c r="D85" s="17"/>
      <c r="E85" s="17"/>
      <c r="F85" s="17"/>
      <c r="G85" s="17"/>
      <c r="H85" s="17"/>
    </row>
    <row r="86" spans="1:8" ht="15.75" customHeight="1" x14ac:dyDescent="0.25">
      <c r="A86" s="17"/>
      <c r="B86" s="17"/>
      <c r="C86" s="17"/>
      <c r="D86" s="17"/>
      <c r="E86" s="17"/>
      <c r="F86" s="17"/>
      <c r="G86" s="17"/>
      <c r="H86" s="17"/>
    </row>
    <row r="87" spans="1:8" ht="15.75" customHeight="1" x14ac:dyDescent="0.25">
      <c r="A87" s="17"/>
      <c r="B87" s="17"/>
      <c r="C87" s="17"/>
      <c r="D87" s="17"/>
      <c r="E87" s="17"/>
      <c r="F87" s="17"/>
      <c r="G87" s="17"/>
      <c r="H87" s="17"/>
    </row>
    <row r="88" spans="1:8" ht="15.75" customHeight="1" x14ac:dyDescent="0.25">
      <c r="A88" s="17"/>
      <c r="B88" s="17"/>
      <c r="C88" s="17"/>
      <c r="D88" s="17"/>
      <c r="E88" s="17"/>
      <c r="F88" s="17"/>
      <c r="G88" s="17"/>
      <c r="H88" s="17"/>
    </row>
    <row r="89" spans="1:8" ht="15.75" customHeight="1" x14ac:dyDescent="0.25">
      <c r="A89" s="17"/>
      <c r="B89" s="17"/>
      <c r="C89" s="17"/>
      <c r="D89" s="17"/>
      <c r="E89" s="17"/>
      <c r="F89" s="17"/>
      <c r="G89" s="17"/>
      <c r="H89" s="17"/>
    </row>
    <row r="90" spans="1:8" ht="15.75" customHeight="1" x14ac:dyDescent="0.25">
      <c r="A90" s="17"/>
      <c r="B90" s="17"/>
      <c r="C90" s="17"/>
      <c r="D90" s="17"/>
      <c r="E90" s="17"/>
      <c r="F90" s="17"/>
      <c r="G90" s="17"/>
      <c r="H90" s="17"/>
    </row>
    <row r="91" spans="1:8" ht="15.75" customHeight="1" x14ac:dyDescent="0.25">
      <c r="A91" s="17"/>
      <c r="B91" s="17"/>
      <c r="C91" s="17"/>
      <c r="D91" s="17"/>
      <c r="E91" s="17"/>
      <c r="F91" s="17"/>
      <c r="G91" s="17"/>
      <c r="H91" s="17"/>
    </row>
    <row r="92" spans="1:8" ht="15.75" customHeight="1" x14ac:dyDescent="0.25">
      <c r="A92" s="17"/>
      <c r="B92" s="17"/>
      <c r="C92" s="17"/>
      <c r="D92" s="17"/>
      <c r="E92" s="17"/>
      <c r="F92" s="17"/>
      <c r="G92" s="17"/>
      <c r="H92" s="17"/>
    </row>
    <row r="93" spans="1:8" ht="15.75" customHeight="1" x14ac:dyDescent="0.25">
      <c r="A93" s="17"/>
      <c r="B93" s="17"/>
      <c r="C93" s="17"/>
      <c r="D93" s="17"/>
      <c r="E93" s="17"/>
      <c r="F93" s="17"/>
      <c r="G93" s="17"/>
      <c r="H93" s="17"/>
    </row>
    <row r="94" spans="1:8" ht="15.75" customHeight="1" x14ac:dyDescent="0.25">
      <c r="A94" s="17"/>
      <c r="B94" s="17"/>
      <c r="C94" s="17"/>
      <c r="D94" s="17"/>
      <c r="E94" s="17"/>
      <c r="F94" s="17"/>
      <c r="G94" s="17"/>
      <c r="H94" s="17"/>
    </row>
    <row r="95" spans="1:8" ht="15.75" customHeight="1" x14ac:dyDescent="0.25">
      <c r="A95" s="17"/>
      <c r="B95" s="17"/>
      <c r="C95" s="17"/>
      <c r="D95" s="17"/>
      <c r="E95" s="17"/>
      <c r="F95" s="17"/>
      <c r="G95" s="17"/>
      <c r="H95" s="17"/>
    </row>
    <row r="96" spans="1:8" ht="15.75" customHeight="1" x14ac:dyDescent="0.25">
      <c r="A96" s="17"/>
      <c r="B96" s="17"/>
      <c r="C96" s="17"/>
      <c r="D96" s="17"/>
      <c r="E96" s="17"/>
      <c r="F96" s="17"/>
      <c r="G96" s="17"/>
      <c r="H96" s="17"/>
    </row>
    <row r="97" spans="1:8" ht="15.75" customHeight="1" x14ac:dyDescent="0.25">
      <c r="A97" s="17"/>
      <c r="B97" s="17"/>
      <c r="C97" s="17"/>
      <c r="D97" s="17"/>
      <c r="E97" s="17"/>
      <c r="F97" s="17"/>
      <c r="G97" s="17"/>
      <c r="H97" s="17"/>
    </row>
    <row r="98" spans="1:8" ht="15.75" customHeight="1" x14ac:dyDescent="0.25">
      <c r="A98" s="17"/>
      <c r="B98" s="17"/>
      <c r="C98" s="17"/>
      <c r="D98" s="17"/>
      <c r="E98" s="17"/>
      <c r="F98" s="17"/>
      <c r="G98" s="17"/>
      <c r="H98" s="17"/>
    </row>
    <row r="99" spans="1:8" ht="15.75" customHeight="1" x14ac:dyDescent="0.25">
      <c r="A99" s="17"/>
      <c r="B99" s="17"/>
      <c r="C99" s="17"/>
      <c r="D99" s="17"/>
      <c r="E99" s="17"/>
      <c r="F99" s="17"/>
      <c r="G99" s="17"/>
      <c r="H99" s="17"/>
    </row>
    <row r="100" spans="1:8" ht="15.75" customHeight="1" x14ac:dyDescent="0.25">
      <c r="A100" s="17"/>
      <c r="B100" s="17"/>
      <c r="C100" s="17"/>
      <c r="D100" s="17"/>
      <c r="E100" s="17"/>
      <c r="F100" s="17"/>
      <c r="G100" s="17"/>
      <c r="H100" s="17"/>
    </row>
  </sheetData>
  <mergeCells count="19">
    <mergeCell ref="A1:H1"/>
    <mergeCell ref="A2:B2"/>
    <mergeCell ref="C2:D2"/>
    <mergeCell ref="E2:F2"/>
    <mergeCell ref="G2:H2"/>
    <mergeCell ref="A5:H5"/>
    <mergeCell ref="A32:D32"/>
    <mergeCell ref="A33:D33"/>
    <mergeCell ref="A34:D34"/>
    <mergeCell ref="C3:D3"/>
    <mergeCell ref="A17:D17"/>
    <mergeCell ref="A18:D18"/>
    <mergeCell ref="A19:D19"/>
    <mergeCell ref="A21:H21"/>
    <mergeCell ref="A29:D29"/>
    <mergeCell ref="A31:H31"/>
    <mergeCell ref="E3:F3"/>
    <mergeCell ref="G3:H3"/>
    <mergeCell ref="A3:B3"/>
  </mergeCells>
  <pageMargins left="0.75" right="0.75" top="1" bottom="1" header="0" footer="0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2E86AB"/>
  </sheetPr>
  <dimension ref="A1:H100"/>
  <sheetViews>
    <sheetView workbookViewId="0">
      <selection sqref="A1:H1"/>
    </sheetView>
  </sheetViews>
  <sheetFormatPr defaultColWidth="14.42578125" defaultRowHeight="15" customHeight="1" x14ac:dyDescent="0.25"/>
  <cols>
    <col min="1" max="1" width="10" customWidth="1"/>
    <col min="2" max="2" width="26" customWidth="1"/>
    <col min="3" max="7" width="16" customWidth="1"/>
    <col min="8" max="8" width="20" customWidth="1"/>
  </cols>
  <sheetData>
    <row r="1" spans="1:8" ht="27.75" customHeight="1" x14ac:dyDescent="0.25">
      <c r="A1" s="163" t="s">
        <v>276</v>
      </c>
      <c r="B1" s="146"/>
      <c r="C1" s="146"/>
      <c r="D1" s="146"/>
      <c r="E1" s="146"/>
      <c r="F1" s="146"/>
      <c r="G1" s="146"/>
      <c r="H1" s="147"/>
    </row>
    <row r="2" spans="1:8" ht="18" customHeight="1" x14ac:dyDescent="0.25">
      <c r="A2" s="164" t="s">
        <v>34</v>
      </c>
      <c r="B2" s="147"/>
      <c r="C2" s="164" t="s">
        <v>35</v>
      </c>
      <c r="D2" s="147"/>
      <c r="E2" s="164" t="s">
        <v>36</v>
      </c>
      <c r="F2" s="147"/>
      <c r="G2" s="164" t="s">
        <v>37</v>
      </c>
      <c r="H2" s="147"/>
    </row>
    <row r="3" spans="1:8" ht="21.75" customHeight="1" x14ac:dyDescent="0.25">
      <c r="A3" s="162">
        <f>E29</f>
        <v>4275</v>
      </c>
      <c r="B3" s="147"/>
      <c r="C3" s="154">
        <f>E19</f>
        <v>3080</v>
      </c>
      <c r="D3" s="147"/>
      <c r="E3" s="160">
        <f>E29-E19</f>
        <v>1195</v>
      </c>
      <c r="F3" s="147"/>
      <c r="G3" s="161">
        <f>IF(E29&gt;0,(E29-E19)/E29,0)</f>
        <v>0.27953216374269008</v>
      </c>
      <c r="H3" s="147"/>
    </row>
    <row r="4" spans="1:8" ht="14.25" customHeight="1" x14ac:dyDescent="0.25">
      <c r="A4" s="17"/>
      <c r="B4" s="17"/>
      <c r="C4" s="17"/>
      <c r="D4" s="17"/>
      <c r="E4" s="17"/>
      <c r="F4" s="17"/>
      <c r="G4" s="17"/>
      <c r="H4" s="17"/>
    </row>
    <row r="5" spans="1:8" ht="19.5" customHeight="1" x14ac:dyDescent="0.25">
      <c r="A5" s="150" t="s">
        <v>277</v>
      </c>
      <c r="B5" s="146"/>
      <c r="C5" s="146"/>
      <c r="D5" s="146"/>
      <c r="E5" s="146"/>
      <c r="F5" s="146"/>
      <c r="G5" s="146"/>
      <c r="H5" s="147"/>
    </row>
    <row r="6" spans="1:8" ht="15" customHeight="1" x14ac:dyDescent="0.25">
      <c r="A6" s="36" t="s">
        <v>22</v>
      </c>
      <c r="B6" s="36" t="s">
        <v>39</v>
      </c>
      <c r="C6" s="36" t="s">
        <v>40</v>
      </c>
      <c r="D6" s="36" t="s">
        <v>41</v>
      </c>
      <c r="E6" s="36" t="s">
        <v>42</v>
      </c>
      <c r="F6" s="36" t="s">
        <v>43</v>
      </c>
      <c r="G6" s="36" t="s">
        <v>44</v>
      </c>
      <c r="H6" s="36"/>
    </row>
    <row r="7" spans="1:8" ht="15" customHeight="1" x14ac:dyDescent="0.25">
      <c r="A7" s="37" t="s">
        <v>278</v>
      </c>
      <c r="B7" s="38" t="s">
        <v>46</v>
      </c>
      <c r="C7" s="37" t="s">
        <v>167</v>
      </c>
      <c r="D7" s="37" t="s">
        <v>48</v>
      </c>
      <c r="E7" s="39">
        <v>86</v>
      </c>
      <c r="F7" s="37"/>
      <c r="G7" s="37"/>
      <c r="H7" s="37"/>
    </row>
    <row r="8" spans="1:8" ht="15" customHeight="1" x14ac:dyDescent="0.25">
      <c r="A8" s="40" t="s">
        <v>278</v>
      </c>
      <c r="B8" s="41" t="s">
        <v>49</v>
      </c>
      <c r="C8" s="40"/>
      <c r="D8" s="40" t="s">
        <v>50</v>
      </c>
      <c r="E8" s="42">
        <v>216</v>
      </c>
      <c r="F8" s="40"/>
      <c r="G8" s="40"/>
      <c r="H8" s="40"/>
    </row>
    <row r="9" spans="1:8" ht="15" customHeight="1" x14ac:dyDescent="0.25">
      <c r="A9" s="37" t="s">
        <v>278</v>
      </c>
      <c r="B9" s="38" t="s">
        <v>51</v>
      </c>
      <c r="C9" s="37"/>
      <c r="D9" s="37" t="s">
        <v>50</v>
      </c>
      <c r="E9" s="39">
        <v>230</v>
      </c>
      <c r="F9" s="37"/>
      <c r="G9" s="37"/>
      <c r="H9" s="37"/>
    </row>
    <row r="10" spans="1:8" ht="15" customHeight="1" x14ac:dyDescent="0.25">
      <c r="A10" s="40" t="s">
        <v>278</v>
      </c>
      <c r="B10" s="41" t="s">
        <v>52</v>
      </c>
      <c r="C10" s="40"/>
      <c r="D10" s="40" t="s">
        <v>50</v>
      </c>
      <c r="E10" s="42">
        <v>95</v>
      </c>
      <c r="F10" s="40"/>
      <c r="G10" s="40"/>
      <c r="H10" s="40"/>
    </row>
    <row r="11" spans="1:8" ht="15" customHeight="1" x14ac:dyDescent="0.25">
      <c r="A11" s="37" t="s">
        <v>278</v>
      </c>
      <c r="B11" s="38" t="s">
        <v>53</v>
      </c>
      <c r="C11" s="37"/>
      <c r="D11" s="37" t="s">
        <v>50</v>
      </c>
      <c r="E11" s="39">
        <v>120</v>
      </c>
      <c r="F11" s="37"/>
      <c r="G11" s="37"/>
      <c r="H11" s="37"/>
    </row>
    <row r="12" spans="1:8" ht="15" customHeight="1" x14ac:dyDescent="0.25">
      <c r="A12" s="40" t="s">
        <v>278</v>
      </c>
      <c r="B12" s="41" t="s">
        <v>54</v>
      </c>
      <c r="C12" s="40"/>
      <c r="D12" s="40" t="s">
        <v>50</v>
      </c>
      <c r="E12" s="42">
        <v>288</v>
      </c>
      <c r="F12" s="40"/>
      <c r="G12" s="40"/>
      <c r="H12" s="40"/>
    </row>
    <row r="13" spans="1:8" ht="15" customHeight="1" x14ac:dyDescent="0.25">
      <c r="A13" s="37" t="s">
        <v>278</v>
      </c>
      <c r="B13" s="38" t="s">
        <v>55</v>
      </c>
      <c r="C13" s="37"/>
      <c r="D13" s="37" t="s">
        <v>50</v>
      </c>
      <c r="E13" s="39">
        <v>135</v>
      </c>
      <c r="F13" s="37"/>
      <c r="G13" s="37"/>
      <c r="H13" s="37"/>
    </row>
    <row r="14" spans="1:8" ht="15" customHeight="1" x14ac:dyDescent="0.25">
      <c r="A14" s="40" t="s">
        <v>278</v>
      </c>
      <c r="B14" s="40" t="s">
        <v>126</v>
      </c>
      <c r="C14" s="31"/>
      <c r="D14" s="40" t="s">
        <v>50</v>
      </c>
      <c r="E14" s="107">
        <f>'💳 Empréstimo'!F40</f>
        <v>560</v>
      </c>
      <c r="F14" s="31"/>
      <c r="G14" s="40" t="s">
        <v>279</v>
      </c>
      <c r="H14" s="31"/>
    </row>
    <row r="15" spans="1:8" ht="15" customHeight="1" x14ac:dyDescent="0.25">
      <c r="A15" s="31"/>
      <c r="B15" s="31"/>
      <c r="C15" s="31"/>
      <c r="D15" s="31"/>
      <c r="E15" s="29"/>
      <c r="F15" s="31"/>
      <c r="G15" s="31"/>
      <c r="H15" s="31"/>
    </row>
    <row r="16" spans="1:8" ht="15" customHeight="1" x14ac:dyDescent="0.25">
      <c r="A16" s="31"/>
      <c r="B16" s="31"/>
      <c r="C16" s="31"/>
      <c r="D16" s="31"/>
      <c r="E16" s="29"/>
      <c r="F16" s="31"/>
      <c r="G16" s="31"/>
      <c r="H16" s="31"/>
    </row>
    <row r="17" spans="1:8" ht="15" customHeight="1" x14ac:dyDescent="0.25">
      <c r="A17" s="155" t="s">
        <v>56</v>
      </c>
      <c r="B17" s="152"/>
      <c r="C17" s="152"/>
      <c r="D17" s="153"/>
      <c r="E17" s="43">
        <f>SUM(E7:E16)</f>
        <v>1730</v>
      </c>
      <c r="F17" s="44"/>
      <c r="G17" s="44"/>
      <c r="H17" s="44"/>
    </row>
    <row r="18" spans="1:8" ht="15" customHeight="1" x14ac:dyDescent="0.25">
      <c r="A18" s="156" t="s">
        <v>57</v>
      </c>
      <c r="B18" s="152"/>
      <c r="C18" s="152"/>
      <c r="D18" s="153"/>
      <c r="E18" s="45">
        <v>1350</v>
      </c>
      <c r="F18" s="44"/>
      <c r="G18" s="44"/>
      <c r="H18" s="44"/>
    </row>
    <row r="19" spans="1:8" ht="15" customHeight="1" x14ac:dyDescent="0.25">
      <c r="A19" s="157" t="s">
        <v>58</v>
      </c>
      <c r="B19" s="152"/>
      <c r="C19" s="152"/>
      <c r="D19" s="153"/>
      <c r="E19" s="46">
        <f>E17+E18</f>
        <v>3080</v>
      </c>
      <c r="F19" s="47"/>
      <c r="G19" s="47"/>
      <c r="H19" s="47"/>
    </row>
    <row r="20" spans="1:8" ht="14.25" customHeight="1" x14ac:dyDescent="0.25">
      <c r="A20" s="17"/>
      <c r="B20" s="17"/>
      <c r="C20" s="17"/>
      <c r="D20" s="17"/>
      <c r="E20" s="17"/>
      <c r="F20" s="17"/>
      <c r="G20" s="17"/>
      <c r="H20" s="17"/>
    </row>
    <row r="21" spans="1:8" ht="19.5" customHeight="1" x14ac:dyDescent="0.25">
      <c r="A21" s="158" t="s">
        <v>280</v>
      </c>
      <c r="B21" s="146"/>
      <c r="C21" s="146"/>
      <c r="D21" s="146"/>
      <c r="E21" s="146"/>
      <c r="F21" s="146"/>
      <c r="G21" s="146"/>
      <c r="H21" s="147"/>
    </row>
    <row r="22" spans="1:8" ht="15" customHeight="1" x14ac:dyDescent="0.25">
      <c r="A22" s="48" t="s">
        <v>22</v>
      </c>
      <c r="B22" s="48" t="s">
        <v>39</v>
      </c>
      <c r="C22" s="48" t="s">
        <v>40</v>
      </c>
      <c r="D22" s="48" t="s">
        <v>41</v>
      </c>
      <c r="E22" s="48" t="s">
        <v>42</v>
      </c>
      <c r="F22" s="48" t="s">
        <v>60</v>
      </c>
      <c r="G22" s="48" t="s">
        <v>44</v>
      </c>
      <c r="H22" s="48"/>
    </row>
    <row r="23" spans="1:8" ht="15" customHeight="1" x14ac:dyDescent="0.25">
      <c r="A23" s="49" t="s">
        <v>278</v>
      </c>
      <c r="B23" s="50" t="s">
        <v>61</v>
      </c>
      <c r="C23" s="49" t="s">
        <v>62</v>
      </c>
      <c r="D23" s="49" t="s">
        <v>50</v>
      </c>
      <c r="E23" s="51">
        <v>1475</v>
      </c>
      <c r="F23" s="49"/>
      <c r="G23" s="49"/>
      <c r="H23" s="49"/>
    </row>
    <row r="24" spans="1:8" ht="15" customHeight="1" x14ac:dyDescent="0.25">
      <c r="A24" s="52" t="s">
        <v>278</v>
      </c>
      <c r="B24" s="53" t="s">
        <v>63</v>
      </c>
      <c r="C24" s="52" t="s">
        <v>62</v>
      </c>
      <c r="D24" s="52" t="s">
        <v>50</v>
      </c>
      <c r="E24" s="54">
        <v>1300</v>
      </c>
      <c r="F24" s="52"/>
      <c r="G24" s="52"/>
      <c r="H24" s="52"/>
    </row>
    <row r="25" spans="1:8" ht="15" customHeight="1" x14ac:dyDescent="0.25">
      <c r="A25" s="49" t="s">
        <v>278</v>
      </c>
      <c r="B25" s="50" t="s">
        <v>64</v>
      </c>
      <c r="C25" s="49" t="s">
        <v>62</v>
      </c>
      <c r="D25" s="49" t="s">
        <v>50</v>
      </c>
      <c r="E25" s="51">
        <v>1500</v>
      </c>
      <c r="F25" s="49"/>
      <c r="G25" s="49"/>
      <c r="H25" s="49"/>
    </row>
    <row r="26" spans="1:8" ht="15" customHeight="1" x14ac:dyDescent="0.25">
      <c r="A26" s="52"/>
      <c r="B26" s="53"/>
      <c r="C26" s="52"/>
      <c r="D26" s="52"/>
      <c r="E26" s="54"/>
      <c r="F26" s="52"/>
      <c r="G26" s="52"/>
      <c r="H26" s="52"/>
    </row>
    <row r="27" spans="1:8" ht="15" customHeight="1" x14ac:dyDescent="0.25">
      <c r="A27" s="55"/>
      <c r="B27" s="55"/>
      <c r="C27" s="55"/>
      <c r="D27" s="55"/>
      <c r="E27" s="56"/>
      <c r="F27" s="55"/>
      <c r="G27" s="55"/>
      <c r="H27" s="55"/>
    </row>
    <row r="28" spans="1:8" ht="15" customHeight="1" x14ac:dyDescent="0.25">
      <c r="A28" s="55"/>
      <c r="B28" s="55"/>
      <c r="C28" s="55"/>
      <c r="D28" s="55"/>
      <c r="E28" s="56"/>
      <c r="F28" s="55"/>
      <c r="G28" s="55"/>
      <c r="H28" s="55"/>
    </row>
    <row r="29" spans="1:8" ht="15" customHeight="1" x14ac:dyDescent="0.25">
      <c r="A29" s="157" t="s">
        <v>66</v>
      </c>
      <c r="B29" s="152"/>
      <c r="C29" s="152"/>
      <c r="D29" s="153"/>
      <c r="E29" s="46">
        <f>SUM(E23:E28)</f>
        <v>4275</v>
      </c>
      <c r="F29" s="47"/>
      <c r="G29" s="47"/>
      <c r="H29" s="47"/>
    </row>
    <row r="30" spans="1:8" ht="15.75" customHeight="1" x14ac:dyDescent="0.25">
      <c r="A30" s="17"/>
      <c r="B30" s="17"/>
      <c r="C30" s="17"/>
      <c r="D30" s="17"/>
      <c r="E30" s="17"/>
      <c r="F30" s="17"/>
      <c r="G30" s="17"/>
      <c r="H30" s="17"/>
    </row>
    <row r="31" spans="1:8" ht="19.5" customHeight="1" x14ac:dyDescent="0.25">
      <c r="A31" s="159" t="s">
        <v>67</v>
      </c>
      <c r="B31" s="146"/>
      <c r="C31" s="146"/>
      <c r="D31" s="146"/>
      <c r="E31" s="146"/>
      <c r="F31" s="146"/>
      <c r="G31" s="146"/>
      <c r="H31" s="147"/>
    </row>
    <row r="32" spans="1:8" ht="15" customHeight="1" x14ac:dyDescent="0.25">
      <c r="A32" s="151" t="s">
        <v>68</v>
      </c>
      <c r="B32" s="152"/>
      <c r="C32" s="152"/>
      <c r="D32" s="153"/>
      <c r="E32" s="57">
        <f>E29-E19</f>
        <v>1195</v>
      </c>
      <c r="F32" s="58"/>
      <c r="G32" s="58"/>
      <c r="H32" s="58"/>
    </row>
    <row r="33" spans="1:8" ht="15" customHeight="1" x14ac:dyDescent="0.25">
      <c r="A33" s="151" t="s">
        <v>76</v>
      </c>
      <c r="B33" s="152"/>
      <c r="C33" s="152"/>
      <c r="D33" s="153"/>
      <c r="E33" s="57">
        <f>0.7*(E29-E19)</f>
        <v>836.5</v>
      </c>
      <c r="F33" s="58"/>
      <c r="G33" s="58"/>
      <c r="H33" s="58"/>
    </row>
    <row r="34" spans="1:8" ht="15" customHeight="1" x14ac:dyDescent="0.25">
      <c r="A34" s="151" t="s">
        <v>70</v>
      </c>
      <c r="B34" s="152"/>
      <c r="C34" s="152"/>
      <c r="D34" s="153"/>
      <c r="E34" s="57">
        <f>E19/6</f>
        <v>513.33333333333337</v>
      </c>
      <c r="F34" s="58"/>
      <c r="G34" s="58"/>
      <c r="H34" s="58"/>
    </row>
    <row r="35" spans="1:8" ht="15.75" customHeight="1" x14ac:dyDescent="0.25">
      <c r="A35" s="17"/>
      <c r="B35" s="17"/>
      <c r="C35" s="17"/>
      <c r="D35" s="17"/>
      <c r="E35" s="17"/>
      <c r="F35" s="17"/>
      <c r="G35" s="17"/>
      <c r="H35" s="17"/>
    </row>
    <row r="36" spans="1:8" ht="15.75" customHeight="1" x14ac:dyDescent="0.25">
      <c r="A36" s="17"/>
      <c r="B36" s="17"/>
      <c r="C36" s="17"/>
      <c r="D36" s="17"/>
      <c r="E36" s="17"/>
      <c r="F36" s="17"/>
      <c r="G36" s="17"/>
      <c r="H36" s="17"/>
    </row>
    <row r="37" spans="1:8" ht="15.75" customHeight="1" x14ac:dyDescent="0.25">
      <c r="A37" s="17"/>
      <c r="B37" s="17"/>
      <c r="C37" s="17"/>
      <c r="D37" s="17"/>
      <c r="E37" s="17"/>
      <c r="F37" s="17"/>
      <c r="G37" s="17"/>
      <c r="H37" s="17"/>
    </row>
    <row r="38" spans="1:8" ht="15.75" customHeight="1" x14ac:dyDescent="0.25">
      <c r="A38" s="17"/>
      <c r="B38" s="17"/>
      <c r="C38" s="17"/>
      <c r="D38" s="17"/>
      <c r="E38" s="17"/>
      <c r="F38" s="17"/>
      <c r="G38" s="17"/>
      <c r="H38" s="17"/>
    </row>
    <row r="39" spans="1:8" ht="15.75" customHeight="1" x14ac:dyDescent="0.25">
      <c r="A39" s="17"/>
      <c r="B39" s="17"/>
      <c r="C39" s="17"/>
      <c r="D39" s="17"/>
      <c r="E39" s="17"/>
      <c r="F39" s="17"/>
      <c r="G39" s="17"/>
      <c r="H39" s="17"/>
    </row>
    <row r="40" spans="1:8" ht="15.75" customHeight="1" x14ac:dyDescent="0.25">
      <c r="A40" s="17"/>
      <c r="B40" s="17"/>
      <c r="C40" s="17"/>
      <c r="D40" s="17"/>
      <c r="E40" s="17"/>
      <c r="F40" s="17"/>
      <c r="G40" s="17"/>
      <c r="H40" s="17"/>
    </row>
    <row r="41" spans="1:8" ht="15.75" customHeight="1" x14ac:dyDescent="0.25">
      <c r="A41" s="17"/>
      <c r="B41" s="17"/>
      <c r="C41" s="17"/>
      <c r="D41" s="17"/>
      <c r="E41" s="17"/>
      <c r="F41" s="17"/>
      <c r="G41" s="17"/>
      <c r="H41" s="17"/>
    </row>
    <row r="42" spans="1:8" ht="15.75" customHeight="1" x14ac:dyDescent="0.25">
      <c r="A42" s="17"/>
      <c r="B42" s="17"/>
      <c r="C42" s="17"/>
      <c r="D42" s="17"/>
      <c r="E42" s="17"/>
      <c r="F42" s="17"/>
      <c r="G42" s="17"/>
      <c r="H42" s="17"/>
    </row>
    <row r="43" spans="1:8" ht="15.75" customHeight="1" x14ac:dyDescent="0.25">
      <c r="A43" s="17"/>
      <c r="B43" s="17"/>
      <c r="C43" s="17"/>
      <c r="D43" s="17"/>
      <c r="E43" s="17"/>
      <c r="F43" s="17"/>
      <c r="G43" s="17"/>
      <c r="H43" s="17"/>
    </row>
    <row r="44" spans="1:8" ht="15.75" customHeight="1" x14ac:dyDescent="0.25">
      <c r="A44" s="17"/>
      <c r="B44" s="17"/>
      <c r="C44" s="17"/>
      <c r="D44" s="17"/>
      <c r="E44" s="17"/>
      <c r="F44" s="17"/>
      <c r="G44" s="17"/>
      <c r="H44" s="17"/>
    </row>
    <row r="45" spans="1:8" ht="15.75" customHeight="1" x14ac:dyDescent="0.25">
      <c r="A45" s="17"/>
      <c r="B45" s="17"/>
      <c r="C45" s="17"/>
      <c r="D45" s="17"/>
      <c r="E45" s="17"/>
      <c r="F45" s="17"/>
      <c r="G45" s="17"/>
      <c r="H45" s="17"/>
    </row>
    <row r="46" spans="1:8" ht="15.75" customHeight="1" x14ac:dyDescent="0.25">
      <c r="A46" s="17"/>
      <c r="B46" s="17"/>
      <c r="C46" s="17"/>
      <c r="D46" s="17"/>
      <c r="E46" s="17"/>
      <c r="F46" s="17"/>
      <c r="G46" s="17"/>
      <c r="H46" s="17"/>
    </row>
    <row r="47" spans="1:8" ht="15.75" customHeight="1" x14ac:dyDescent="0.25">
      <c r="A47" s="17"/>
      <c r="B47" s="17"/>
      <c r="C47" s="17"/>
      <c r="D47" s="17"/>
      <c r="E47" s="17"/>
      <c r="F47" s="17"/>
      <c r="G47" s="17"/>
      <c r="H47" s="17"/>
    </row>
    <row r="48" spans="1:8" ht="15.75" customHeight="1" x14ac:dyDescent="0.25">
      <c r="A48" s="17"/>
      <c r="B48" s="17"/>
      <c r="C48" s="17"/>
      <c r="D48" s="17"/>
      <c r="E48" s="17"/>
      <c r="F48" s="17"/>
      <c r="G48" s="17"/>
      <c r="H48" s="17"/>
    </row>
    <row r="49" spans="1:8" ht="15.75" customHeight="1" x14ac:dyDescent="0.25">
      <c r="A49" s="17"/>
      <c r="B49" s="17"/>
      <c r="C49" s="17"/>
      <c r="D49" s="17"/>
      <c r="E49" s="17"/>
      <c r="F49" s="17"/>
      <c r="G49" s="17"/>
      <c r="H49" s="17"/>
    </row>
    <row r="50" spans="1:8" ht="15.75" customHeight="1" x14ac:dyDescent="0.25">
      <c r="A50" s="17"/>
      <c r="B50" s="17"/>
      <c r="C50" s="17"/>
      <c r="D50" s="17"/>
      <c r="E50" s="17"/>
      <c r="F50" s="17"/>
      <c r="G50" s="17"/>
      <c r="H50" s="17"/>
    </row>
    <row r="51" spans="1:8" ht="15.75" customHeight="1" x14ac:dyDescent="0.25">
      <c r="A51" s="17"/>
      <c r="B51" s="17"/>
      <c r="C51" s="17"/>
      <c r="D51" s="17"/>
      <c r="E51" s="17"/>
      <c r="F51" s="17"/>
      <c r="G51" s="17"/>
      <c r="H51" s="17"/>
    </row>
    <row r="52" spans="1:8" ht="15.75" customHeight="1" x14ac:dyDescent="0.25">
      <c r="A52" s="17"/>
      <c r="B52" s="17"/>
      <c r="C52" s="17"/>
      <c r="D52" s="17"/>
      <c r="E52" s="17"/>
      <c r="F52" s="17"/>
      <c r="G52" s="17"/>
      <c r="H52" s="17"/>
    </row>
    <row r="53" spans="1:8" ht="15.75" customHeight="1" x14ac:dyDescent="0.25">
      <c r="A53" s="17"/>
      <c r="B53" s="17"/>
      <c r="C53" s="17"/>
      <c r="D53" s="17"/>
      <c r="E53" s="17"/>
      <c r="F53" s="17"/>
      <c r="G53" s="17"/>
      <c r="H53" s="17"/>
    </row>
    <row r="54" spans="1:8" ht="15.75" customHeight="1" x14ac:dyDescent="0.25">
      <c r="A54" s="17"/>
      <c r="B54" s="17"/>
      <c r="C54" s="17"/>
      <c r="D54" s="17"/>
      <c r="E54" s="17"/>
      <c r="F54" s="17"/>
      <c r="G54" s="17"/>
      <c r="H54" s="17"/>
    </row>
    <row r="55" spans="1:8" ht="15.75" customHeight="1" x14ac:dyDescent="0.25">
      <c r="A55" s="17"/>
      <c r="B55" s="17"/>
      <c r="C55" s="17"/>
      <c r="D55" s="17"/>
      <c r="E55" s="17"/>
      <c r="F55" s="17"/>
      <c r="G55" s="17"/>
      <c r="H55" s="17"/>
    </row>
    <row r="56" spans="1:8" ht="15.75" customHeight="1" x14ac:dyDescent="0.25">
      <c r="A56" s="17"/>
      <c r="B56" s="17"/>
      <c r="C56" s="17"/>
      <c r="D56" s="17"/>
      <c r="E56" s="17"/>
      <c r="F56" s="17"/>
      <c r="G56" s="17"/>
      <c r="H56" s="17"/>
    </row>
    <row r="57" spans="1:8" ht="15.75" customHeight="1" x14ac:dyDescent="0.25">
      <c r="A57" s="17"/>
      <c r="B57" s="17"/>
      <c r="C57" s="17"/>
      <c r="D57" s="17"/>
      <c r="E57" s="17"/>
      <c r="F57" s="17"/>
      <c r="G57" s="17"/>
      <c r="H57" s="17"/>
    </row>
    <row r="58" spans="1:8" ht="15.75" customHeight="1" x14ac:dyDescent="0.25">
      <c r="A58" s="17"/>
      <c r="B58" s="17"/>
      <c r="C58" s="17"/>
      <c r="D58" s="17"/>
      <c r="E58" s="17"/>
      <c r="F58" s="17"/>
      <c r="G58" s="17"/>
      <c r="H58" s="17"/>
    </row>
    <row r="59" spans="1:8" ht="15.75" customHeight="1" x14ac:dyDescent="0.25">
      <c r="A59" s="17"/>
      <c r="B59" s="17"/>
      <c r="C59" s="17"/>
      <c r="D59" s="17"/>
      <c r="E59" s="17"/>
      <c r="F59" s="17"/>
      <c r="G59" s="17"/>
      <c r="H59" s="17"/>
    </row>
    <row r="60" spans="1:8" ht="15.75" customHeight="1" x14ac:dyDescent="0.25">
      <c r="A60" s="17"/>
      <c r="B60" s="17"/>
      <c r="C60" s="17"/>
      <c r="D60" s="17"/>
      <c r="E60" s="17"/>
      <c r="F60" s="17"/>
      <c r="G60" s="17"/>
      <c r="H60" s="17"/>
    </row>
    <row r="61" spans="1:8" ht="15.75" customHeight="1" x14ac:dyDescent="0.25">
      <c r="A61" s="17"/>
      <c r="B61" s="17"/>
      <c r="C61" s="17"/>
      <c r="D61" s="17"/>
      <c r="E61" s="17"/>
      <c r="F61" s="17"/>
      <c r="G61" s="17"/>
      <c r="H61" s="17"/>
    </row>
    <row r="62" spans="1:8" ht="15.75" customHeight="1" x14ac:dyDescent="0.25">
      <c r="A62" s="17"/>
      <c r="B62" s="17"/>
      <c r="C62" s="17"/>
      <c r="D62" s="17"/>
      <c r="E62" s="17"/>
      <c r="F62" s="17"/>
      <c r="G62" s="17"/>
      <c r="H62" s="17"/>
    </row>
    <row r="63" spans="1:8" ht="15.75" customHeight="1" x14ac:dyDescent="0.25">
      <c r="A63" s="17"/>
      <c r="B63" s="17"/>
      <c r="C63" s="17"/>
      <c r="D63" s="17"/>
      <c r="E63" s="17"/>
      <c r="F63" s="17"/>
      <c r="G63" s="17"/>
      <c r="H63" s="17"/>
    </row>
    <row r="64" spans="1:8" ht="15.75" customHeight="1" x14ac:dyDescent="0.25">
      <c r="A64" s="17"/>
      <c r="B64" s="17"/>
      <c r="C64" s="17"/>
      <c r="D64" s="17"/>
      <c r="E64" s="17"/>
      <c r="F64" s="17"/>
      <c r="G64" s="17"/>
      <c r="H64" s="17"/>
    </row>
    <row r="65" spans="1:8" ht="15.75" customHeight="1" x14ac:dyDescent="0.25">
      <c r="A65" s="17"/>
      <c r="B65" s="17"/>
      <c r="C65" s="17"/>
      <c r="D65" s="17"/>
      <c r="E65" s="17"/>
      <c r="F65" s="17"/>
      <c r="G65" s="17"/>
      <c r="H65" s="17"/>
    </row>
    <row r="66" spans="1:8" ht="15.75" customHeight="1" x14ac:dyDescent="0.25">
      <c r="A66" s="17"/>
      <c r="B66" s="17"/>
      <c r="C66" s="17"/>
      <c r="D66" s="17"/>
      <c r="E66" s="17"/>
      <c r="F66" s="17"/>
      <c r="G66" s="17"/>
      <c r="H66" s="17"/>
    </row>
    <row r="67" spans="1:8" ht="15.75" customHeight="1" x14ac:dyDescent="0.25">
      <c r="A67" s="17"/>
      <c r="B67" s="17"/>
      <c r="C67" s="17"/>
      <c r="D67" s="17"/>
      <c r="E67" s="17"/>
      <c r="F67" s="17"/>
      <c r="G67" s="17"/>
      <c r="H67" s="17"/>
    </row>
    <row r="68" spans="1:8" ht="15.75" customHeight="1" x14ac:dyDescent="0.25">
      <c r="A68" s="17"/>
      <c r="B68" s="17"/>
      <c r="C68" s="17"/>
      <c r="D68" s="17"/>
      <c r="E68" s="17"/>
      <c r="F68" s="17"/>
      <c r="G68" s="17"/>
      <c r="H68" s="17"/>
    </row>
    <row r="69" spans="1:8" ht="15.75" customHeight="1" x14ac:dyDescent="0.25">
      <c r="A69" s="17"/>
      <c r="B69" s="17"/>
      <c r="C69" s="17"/>
      <c r="D69" s="17"/>
      <c r="E69" s="17"/>
      <c r="F69" s="17"/>
      <c r="G69" s="17"/>
      <c r="H69" s="17"/>
    </row>
    <row r="70" spans="1:8" ht="15.75" customHeight="1" x14ac:dyDescent="0.25">
      <c r="A70" s="17"/>
      <c r="B70" s="17"/>
      <c r="C70" s="17"/>
      <c r="D70" s="17"/>
      <c r="E70" s="17"/>
      <c r="F70" s="17"/>
      <c r="G70" s="17"/>
      <c r="H70" s="17"/>
    </row>
    <row r="71" spans="1:8" ht="15.75" customHeight="1" x14ac:dyDescent="0.25">
      <c r="A71" s="17"/>
      <c r="B71" s="17"/>
      <c r="C71" s="17"/>
      <c r="D71" s="17"/>
      <c r="E71" s="17"/>
      <c r="F71" s="17"/>
      <c r="G71" s="17"/>
      <c r="H71" s="17"/>
    </row>
    <row r="72" spans="1:8" ht="15.75" customHeight="1" x14ac:dyDescent="0.25">
      <c r="A72" s="17"/>
      <c r="B72" s="17"/>
      <c r="C72" s="17"/>
      <c r="D72" s="17"/>
      <c r="E72" s="17"/>
      <c r="F72" s="17"/>
      <c r="G72" s="17"/>
      <c r="H72" s="17"/>
    </row>
    <row r="73" spans="1:8" ht="15.75" customHeight="1" x14ac:dyDescent="0.25">
      <c r="A73" s="17"/>
      <c r="B73" s="17"/>
      <c r="C73" s="17"/>
      <c r="D73" s="17"/>
      <c r="E73" s="17"/>
      <c r="F73" s="17"/>
      <c r="G73" s="17"/>
      <c r="H73" s="17"/>
    </row>
    <row r="74" spans="1:8" ht="15.75" customHeight="1" x14ac:dyDescent="0.25">
      <c r="A74" s="17"/>
      <c r="B74" s="17"/>
      <c r="C74" s="17"/>
      <c r="D74" s="17"/>
      <c r="E74" s="17"/>
      <c r="F74" s="17"/>
      <c r="G74" s="17"/>
      <c r="H74" s="17"/>
    </row>
    <row r="75" spans="1:8" ht="15.75" customHeight="1" x14ac:dyDescent="0.25">
      <c r="A75" s="17"/>
      <c r="B75" s="17"/>
      <c r="C75" s="17"/>
      <c r="D75" s="17"/>
      <c r="E75" s="17"/>
      <c r="F75" s="17"/>
      <c r="G75" s="17"/>
      <c r="H75" s="17"/>
    </row>
    <row r="76" spans="1:8" ht="15.75" customHeight="1" x14ac:dyDescent="0.25">
      <c r="A76" s="17"/>
      <c r="B76" s="17"/>
      <c r="C76" s="17"/>
      <c r="D76" s="17"/>
      <c r="E76" s="17"/>
      <c r="F76" s="17"/>
      <c r="G76" s="17"/>
      <c r="H76" s="17"/>
    </row>
    <row r="77" spans="1:8" ht="15.75" customHeight="1" x14ac:dyDescent="0.25">
      <c r="A77" s="17"/>
      <c r="B77" s="17"/>
      <c r="C77" s="17"/>
      <c r="D77" s="17"/>
      <c r="E77" s="17"/>
      <c r="F77" s="17"/>
      <c r="G77" s="17"/>
      <c r="H77" s="17"/>
    </row>
    <row r="78" spans="1:8" ht="15.75" customHeight="1" x14ac:dyDescent="0.25">
      <c r="A78" s="17"/>
      <c r="B78" s="17"/>
      <c r="C78" s="17"/>
      <c r="D78" s="17"/>
      <c r="E78" s="17"/>
      <c r="F78" s="17"/>
      <c r="G78" s="17"/>
      <c r="H78" s="17"/>
    </row>
    <row r="79" spans="1:8" ht="15.75" customHeight="1" x14ac:dyDescent="0.25">
      <c r="A79" s="17"/>
      <c r="B79" s="17"/>
      <c r="C79" s="17"/>
      <c r="D79" s="17"/>
      <c r="E79" s="17"/>
      <c r="F79" s="17"/>
      <c r="G79" s="17"/>
      <c r="H79" s="17"/>
    </row>
    <row r="80" spans="1:8" ht="15.75" customHeight="1" x14ac:dyDescent="0.25">
      <c r="A80" s="17"/>
      <c r="B80" s="17"/>
      <c r="C80" s="17"/>
      <c r="D80" s="17"/>
      <c r="E80" s="17"/>
      <c r="F80" s="17"/>
      <c r="G80" s="17"/>
      <c r="H80" s="17"/>
    </row>
    <row r="81" spans="1:8" ht="15.75" customHeight="1" x14ac:dyDescent="0.25">
      <c r="A81" s="17"/>
      <c r="B81" s="17"/>
      <c r="C81" s="17"/>
      <c r="D81" s="17"/>
      <c r="E81" s="17"/>
      <c r="F81" s="17"/>
      <c r="G81" s="17"/>
      <c r="H81" s="17"/>
    </row>
    <row r="82" spans="1:8" ht="15.75" customHeight="1" x14ac:dyDescent="0.25">
      <c r="A82" s="17"/>
      <c r="B82" s="17"/>
      <c r="C82" s="17"/>
      <c r="D82" s="17"/>
      <c r="E82" s="17"/>
      <c r="F82" s="17"/>
      <c r="G82" s="17"/>
      <c r="H82" s="17"/>
    </row>
    <row r="83" spans="1:8" ht="15.75" customHeight="1" x14ac:dyDescent="0.25">
      <c r="A83" s="17"/>
      <c r="B83" s="17"/>
      <c r="C83" s="17"/>
      <c r="D83" s="17"/>
      <c r="E83" s="17"/>
      <c r="F83" s="17"/>
      <c r="G83" s="17"/>
      <c r="H83" s="17"/>
    </row>
    <row r="84" spans="1:8" ht="15.75" customHeight="1" x14ac:dyDescent="0.25">
      <c r="A84" s="17"/>
      <c r="B84" s="17"/>
      <c r="C84" s="17"/>
      <c r="D84" s="17"/>
      <c r="E84" s="17"/>
      <c r="F84" s="17"/>
      <c r="G84" s="17"/>
      <c r="H84" s="17"/>
    </row>
    <row r="85" spans="1:8" ht="15.75" customHeight="1" x14ac:dyDescent="0.25">
      <c r="A85" s="17"/>
      <c r="B85" s="17"/>
      <c r="C85" s="17"/>
      <c r="D85" s="17"/>
      <c r="E85" s="17"/>
      <c r="F85" s="17"/>
      <c r="G85" s="17"/>
      <c r="H85" s="17"/>
    </row>
    <row r="86" spans="1:8" ht="15.75" customHeight="1" x14ac:dyDescent="0.25">
      <c r="A86" s="17"/>
      <c r="B86" s="17"/>
      <c r="C86" s="17"/>
      <c r="D86" s="17"/>
      <c r="E86" s="17"/>
      <c r="F86" s="17"/>
      <c r="G86" s="17"/>
      <c r="H86" s="17"/>
    </row>
    <row r="87" spans="1:8" ht="15.75" customHeight="1" x14ac:dyDescent="0.25">
      <c r="A87" s="17"/>
      <c r="B87" s="17"/>
      <c r="C87" s="17"/>
      <c r="D87" s="17"/>
      <c r="E87" s="17"/>
      <c r="F87" s="17"/>
      <c r="G87" s="17"/>
      <c r="H87" s="17"/>
    </row>
    <row r="88" spans="1:8" ht="15.75" customHeight="1" x14ac:dyDescent="0.25">
      <c r="A88" s="17"/>
      <c r="B88" s="17"/>
      <c r="C88" s="17"/>
      <c r="D88" s="17"/>
      <c r="E88" s="17"/>
      <c r="F88" s="17"/>
      <c r="G88" s="17"/>
      <c r="H88" s="17"/>
    </row>
    <row r="89" spans="1:8" ht="15.75" customHeight="1" x14ac:dyDescent="0.25">
      <c r="A89" s="17"/>
      <c r="B89" s="17"/>
      <c r="C89" s="17"/>
      <c r="D89" s="17"/>
      <c r="E89" s="17"/>
      <c r="F89" s="17"/>
      <c r="G89" s="17"/>
      <c r="H89" s="17"/>
    </row>
    <row r="90" spans="1:8" ht="15.75" customHeight="1" x14ac:dyDescent="0.25">
      <c r="A90" s="17"/>
      <c r="B90" s="17"/>
      <c r="C90" s="17"/>
      <c r="D90" s="17"/>
      <c r="E90" s="17"/>
      <c r="F90" s="17"/>
      <c r="G90" s="17"/>
      <c r="H90" s="17"/>
    </row>
    <row r="91" spans="1:8" ht="15.75" customHeight="1" x14ac:dyDescent="0.25">
      <c r="A91" s="17"/>
      <c r="B91" s="17"/>
      <c r="C91" s="17"/>
      <c r="D91" s="17"/>
      <c r="E91" s="17"/>
      <c r="F91" s="17"/>
      <c r="G91" s="17"/>
      <c r="H91" s="17"/>
    </row>
    <row r="92" spans="1:8" ht="15.75" customHeight="1" x14ac:dyDescent="0.25">
      <c r="A92" s="17"/>
      <c r="B92" s="17"/>
      <c r="C92" s="17"/>
      <c r="D92" s="17"/>
      <c r="E92" s="17"/>
      <c r="F92" s="17"/>
      <c r="G92" s="17"/>
      <c r="H92" s="17"/>
    </row>
    <row r="93" spans="1:8" ht="15.75" customHeight="1" x14ac:dyDescent="0.25">
      <c r="A93" s="17"/>
      <c r="B93" s="17"/>
      <c r="C93" s="17"/>
      <c r="D93" s="17"/>
      <c r="E93" s="17"/>
      <c r="F93" s="17"/>
      <c r="G93" s="17"/>
      <c r="H93" s="17"/>
    </row>
    <row r="94" spans="1:8" ht="15.75" customHeight="1" x14ac:dyDescent="0.25">
      <c r="A94" s="17"/>
      <c r="B94" s="17"/>
      <c r="C94" s="17"/>
      <c r="D94" s="17"/>
      <c r="E94" s="17"/>
      <c r="F94" s="17"/>
      <c r="G94" s="17"/>
      <c r="H94" s="17"/>
    </row>
    <row r="95" spans="1:8" ht="15.75" customHeight="1" x14ac:dyDescent="0.25">
      <c r="A95" s="17"/>
      <c r="B95" s="17"/>
      <c r="C95" s="17"/>
      <c r="D95" s="17"/>
      <c r="E95" s="17"/>
      <c r="F95" s="17"/>
      <c r="G95" s="17"/>
      <c r="H95" s="17"/>
    </row>
    <row r="96" spans="1:8" ht="15.75" customHeight="1" x14ac:dyDescent="0.25">
      <c r="A96" s="17"/>
      <c r="B96" s="17"/>
      <c r="C96" s="17"/>
      <c r="D96" s="17"/>
      <c r="E96" s="17"/>
      <c r="F96" s="17"/>
      <c r="G96" s="17"/>
      <c r="H96" s="17"/>
    </row>
    <row r="97" spans="1:8" ht="15.75" customHeight="1" x14ac:dyDescent="0.25">
      <c r="A97" s="17"/>
      <c r="B97" s="17"/>
      <c r="C97" s="17"/>
      <c r="D97" s="17"/>
      <c r="E97" s="17"/>
      <c r="F97" s="17"/>
      <c r="G97" s="17"/>
      <c r="H97" s="17"/>
    </row>
    <row r="98" spans="1:8" ht="15.75" customHeight="1" x14ac:dyDescent="0.25">
      <c r="A98" s="17"/>
      <c r="B98" s="17"/>
      <c r="C98" s="17"/>
      <c r="D98" s="17"/>
      <c r="E98" s="17"/>
      <c r="F98" s="17"/>
      <c r="G98" s="17"/>
      <c r="H98" s="17"/>
    </row>
    <row r="99" spans="1:8" ht="15.75" customHeight="1" x14ac:dyDescent="0.25">
      <c r="A99" s="17"/>
      <c r="B99" s="17"/>
      <c r="C99" s="17"/>
      <c r="D99" s="17"/>
      <c r="E99" s="17"/>
      <c r="F99" s="17"/>
      <c r="G99" s="17"/>
      <c r="H99" s="17"/>
    </row>
    <row r="100" spans="1:8" ht="15.75" customHeight="1" x14ac:dyDescent="0.25">
      <c r="A100" s="17"/>
      <c r="B100" s="17"/>
      <c r="C100" s="17"/>
      <c r="D100" s="17"/>
      <c r="E100" s="17"/>
      <c r="F100" s="17"/>
      <c r="G100" s="17"/>
      <c r="H100" s="17"/>
    </row>
  </sheetData>
  <mergeCells count="19">
    <mergeCell ref="A1:H1"/>
    <mergeCell ref="A2:B2"/>
    <mergeCell ref="C2:D2"/>
    <mergeCell ref="E2:F2"/>
    <mergeCell ref="G2:H2"/>
    <mergeCell ref="A5:H5"/>
    <mergeCell ref="A32:D32"/>
    <mergeCell ref="A33:D33"/>
    <mergeCell ref="A34:D34"/>
    <mergeCell ref="C3:D3"/>
    <mergeCell ref="A17:D17"/>
    <mergeCell ref="A18:D18"/>
    <mergeCell ref="A19:D19"/>
    <mergeCell ref="A21:H21"/>
    <mergeCell ref="A29:D29"/>
    <mergeCell ref="A31:H31"/>
    <mergeCell ref="E3:F3"/>
    <mergeCell ref="G3:H3"/>
    <mergeCell ref="A3:B3"/>
  </mergeCells>
  <pageMargins left="0.75" right="0.75" top="1" bottom="1" header="0" footer="0"/>
  <pageSetup paperSize="9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2E86AB"/>
  </sheetPr>
  <dimension ref="A1:H100"/>
  <sheetViews>
    <sheetView workbookViewId="0">
      <selection sqref="A1:H1"/>
    </sheetView>
  </sheetViews>
  <sheetFormatPr defaultColWidth="14.42578125" defaultRowHeight="15" customHeight="1" x14ac:dyDescent="0.25"/>
  <cols>
    <col min="1" max="1" width="10" customWidth="1"/>
    <col min="2" max="2" width="26" customWidth="1"/>
    <col min="3" max="7" width="16" customWidth="1"/>
    <col min="8" max="8" width="20" customWidth="1"/>
  </cols>
  <sheetData>
    <row r="1" spans="1:8" ht="27.75" customHeight="1" x14ac:dyDescent="0.25">
      <c r="A1" s="163" t="s">
        <v>281</v>
      </c>
      <c r="B1" s="146"/>
      <c r="C1" s="146"/>
      <c r="D1" s="146"/>
      <c r="E1" s="146"/>
      <c r="F1" s="146"/>
      <c r="G1" s="146"/>
      <c r="H1" s="147"/>
    </row>
    <row r="2" spans="1:8" ht="18" customHeight="1" x14ac:dyDescent="0.25">
      <c r="A2" s="164" t="s">
        <v>34</v>
      </c>
      <c r="B2" s="147"/>
      <c r="C2" s="164" t="s">
        <v>35</v>
      </c>
      <c r="D2" s="147"/>
      <c r="E2" s="164" t="s">
        <v>36</v>
      </c>
      <c r="F2" s="147"/>
      <c r="G2" s="164" t="s">
        <v>37</v>
      </c>
      <c r="H2" s="147"/>
    </row>
    <row r="3" spans="1:8" ht="21.75" customHeight="1" x14ac:dyDescent="0.25">
      <c r="A3" s="162">
        <f>E29</f>
        <v>4275</v>
      </c>
      <c r="B3" s="147"/>
      <c r="C3" s="154">
        <f>E19</f>
        <v>3080</v>
      </c>
      <c r="D3" s="147"/>
      <c r="E3" s="160">
        <f>E29-E19</f>
        <v>1195</v>
      </c>
      <c r="F3" s="147"/>
      <c r="G3" s="161">
        <f>IF(E29&gt;0,(E29-E19)/E29,0)</f>
        <v>0.27953216374269008</v>
      </c>
      <c r="H3" s="147"/>
    </row>
    <row r="4" spans="1:8" ht="14.25" customHeight="1" x14ac:dyDescent="0.25">
      <c r="A4" s="17"/>
      <c r="B4" s="17"/>
      <c r="C4" s="17"/>
      <c r="D4" s="17"/>
      <c r="E4" s="17"/>
      <c r="F4" s="17"/>
      <c r="G4" s="17"/>
      <c r="H4" s="17"/>
    </row>
    <row r="5" spans="1:8" ht="19.5" customHeight="1" x14ac:dyDescent="0.25">
      <c r="A5" s="150" t="s">
        <v>282</v>
      </c>
      <c r="B5" s="146"/>
      <c r="C5" s="146"/>
      <c r="D5" s="146"/>
      <c r="E5" s="146"/>
      <c r="F5" s="146"/>
      <c r="G5" s="146"/>
      <c r="H5" s="147"/>
    </row>
    <row r="6" spans="1:8" ht="15" customHeight="1" x14ac:dyDescent="0.25">
      <c r="A6" s="36" t="s">
        <v>22</v>
      </c>
      <c r="B6" s="36" t="s">
        <v>39</v>
      </c>
      <c r="C6" s="36" t="s">
        <v>40</v>
      </c>
      <c r="D6" s="36" t="s">
        <v>41</v>
      </c>
      <c r="E6" s="36" t="s">
        <v>42</v>
      </c>
      <c r="F6" s="36" t="s">
        <v>43</v>
      </c>
      <c r="G6" s="36" t="s">
        <v>44</v>
      </c>
      <c r="H6" s="36"/>
    </row>
    <row r="7" spans="1:8" ht="15" customHeight="1" x14ac:dyDescent="0.25">
      <c r="A7" s="37" t="s">
        <v>283</v>
      </c>
      <c r="B7" s="38" t="s">
        <v>46</v>
      </c>
      <c r="C7" s="37" t="s">
        <v>167</v>
      </c>
      <c r="D7" s="37" t="s">
        <v>48</v>
      </c>
      <c r="E7" s="39">
        <v>86</v>
      </c>
      <c r="F7" s="37"/>
      <c r="G7" s="37"/>
      <c r="H7" s="37"/>
    </row>
    <row r="8" spans="1:8" ht="15" customHeight="1" x14ac:dyDescent="0.25">
      <c r="A8" s="40" t="s">
        <v>283</v>
      </c>
      <c r="B8" s="41" t="s">
        <v>49</v>
      </c>
      <c r="C8" s="40"/>
      <c r="D8" s="40" t="s">
        <v>50</v>
      </c>
      <c r="E8" s="42">
        <v>216</v>
      </c>
      <c r="F8" s="40"/>
      <c r="G8" s="40"/>
      <c r="H8" s="40"/>
    </row>
    <row r="9" spans="1:8" ht="15" customHeight="1" x14ac:dyDescent="0.25">
      <c r="A9" s="37" t="s">
        <v>283</v>
      </c>
      <c r="B9" s="38" t="s">
        <v>51</v>
      </c>
      <c r="C9" s="37"/>
      <c r="D9" s="37" t="s">
        <v>50</v>
      </c>
      <c r="E9" s="39">
        <v>230</v>
      </c>
      <c r="F9" s="37"/>
      <c r="G9" s="37"/>
      <c r="H9" s="37"/>
    </row>
    <row r="10" spans="1:8" ht="15" customHeight="1" x14ac:dyDescent="0.25">
      <c r="A10" s="40" t="s">
        <v>283</v>
      </c>
      <c r="B10" s="41" t="s">
        <v>52</v>
      </c>
      <c r="C10" s="40"/>
      <c r="D10" s="40" t="s">
        <v>50</v>
      </c>
      <c r="E10" s="42">
        <v>95</v>
      </c>
      <c r="F10" s="40"/>
      <c r="G10" s="40"/>
      <c r="H10" s="40"/>
    </row>
    <row r="11" spans="1:8" ht="15" customHeight="1" x14ac:dyDescent="0.25">
      <c r="A11" s="37" t="s">
        <v>283</v>
      </c>
      <c r="B11" s="38" t="s">
        <v>53</v>
      </c>
      <c r="C11" s="37"/>
      <c r="D11" s="37" t="s">
        <v>50</v>
      </c>
      <c r="E11" s="39">
        <v>120</v>
      </c>
      <c r="F11" s="37"/>
      <c r="G11" s="37"/>
      <c r="H11" s="37"/>
    </row>
    <row r="12" spans="1:8" ht="15" customHeight="1" x14ac:dyDescent="0.25">
      <c r="A12" s="40" t="s">
        <v>283</v>
      </c>
      <c r="B12" s="41" t="s">
        <v>54</v>
      </c>
      <c r="C12" s="40"/>
      <c r="D12" s="40" t="s">
        <v>50</v>
      </c>
      <c r="E12" s="42">
        <v>288</v>
      </c>
      <c r="F12" s="40"/>
      <c r="G12" s="40"/>
      <c r="H12" s="40"/>
    </row>
    <row r="13" spans="1:8" ht="15" customHeight="1" x14ac:dyDescent="0.25">
      <c r="A13" s="37" t="s">
        <v>283</v>
      </c>
      <c r="B13" s="38" t="s">
        <v>55</v>
      </c>
      <c r="C13" s="37"/>
      <c r="D13" s="37" t="s">
        <v>50</v>
      </c>
      <c r="E13" s="39">
        <v>135</v>
      </c>
      <c r="F13" s="37"/>
      <c r="G13" s="37"/>
      <c r="H13" s="37"/>
    </row>
    <row r="14" spans="1:8" ht="15" customHeight="1" x14ac:dyDescent="0.25">
      <c r="A14" s="40" t="s">
        <v>283</v>
      </c>
      <c r="B14" s="40" t="s">
        <v>126</v>
      </c>
      <c r="C14" s="31"/>
      <c r="D14" s="40" t="s">
        <v>50</v>
      </c>
      <c r="E14" s="107">
        <f>'💳 Empréstimo'!F41</f>
        <v>560</v>
      </c>
      <c r="F14" s="31"/>
      <c r="G14" s="40" t="s">
        <v>284</v>
      </c>
      <c r="H14" s="31"/>
    </row>
    <row r="15" spans="1:8" ht="15" customHeight="1" x14ac:dyDescent="0.25">
      <c r="A15" s="31"/>
      <c r="B15" s="31"/>
      <c r="C15" s="31"/>
      <c r="D15" s="31"/>
      <c r="E15" s="29"/>
      <c r="F15" s="31"/>
      <c r="G15" s="31"/>
      <c r="H15" s="31"/>
    </row>
    <row r="16" spans="1:8" ht="15" customHeight="1" x14ac:dyDescent="0.25">
      <c r="A16" s="31"/>
      <c r="B16" s="31"/>
      <c r="C16" s="31"/>
      <c r="D16" s="31"/>
      <c r="E16" s="29"/>
      <c r="F16" s="31"/>
      <c r="G16" s="31"/>
      <c r="H16" s="31"/>
    </row>
    <row r="17" spans="1:8" ht="15" customHeight="1" x14ac:dyDescent="0.25">
      <c r="A17" s="155" t="s">
        <v>56</v>
      </c>
      <c r="B17" s="152"/>
      <c r="C17" s="152"/>
      <c r="D17" s="153"/>
      <c r="E17" s="43">
        <f>SUM(E7:E16)</f>
        <v>1730</v>
      </c>
      <c r="F17" s="44"/>
      <c r="G17" s="44"/>
      <c r="H17" s="44"/>
    </row>
    <row r="18" spans="1:8" ht="15" customHeight="1" x14ac:dyDescent="0.25">
      <c r="A18" s="156" t="s">
        <v>57</v>
      </c>
      <c r="B18" s="152"/>
      <c r="C18" s="152"/>
      <c r="D18" s="153"/>
      <c r="E18" s="45">
        <v>1350</v>
      </c>
      <c r="F18" s="44"/>
      <c r="G18" s="44"/>
      <c r="H18" s="44"/>
    </row>
    <row r="19" spans="1:8" ht="15" customHeight="1" x14ac:dyDescent="0.25">
      <c r="A19" s="157" t="s">
        <v>58</v>
      </c>
      <c r="B19" s="152"/>
      <c r="C19" s="152"/>
      <c r="D19" s="153"/>
      <c r="E19" s="46">
        <f>E17+E18</f>
        <v>3080</v>
      </c>
      <c r="F19" s="47"/>
      <c r="G19" s="47"/>
      <c r="H19" s="47"/>
    </row>
    <row r="20" spans="1:8" ht="14.25" customHeight="1" x14ac:dyDescent="0.25">
      <c r="A20" s="17"/>
      <c r="B20" s="17"/>
      <c r="C20" s="17"/>
      <c r="D20" s="17"/>
      <c r="E20" s="17"/>
      <c r="F20" s="17"/>
      <c r="G20" s="17"/>
      <c r="H20" s="17"/>
    </row>
    <row r="21" spans="1:8" ht="19.5" customHeight="1" x14ac:dyDescent="0.25">
      <c r="A21" s="158" t="s">
        <v>285</v>
      </c>
      <c r="B21" s="146"/>
      <c r="C21" s="146"/>
      <c r="D21" s="146"/>
      <c r="E21" s="146"/>
      <c r="F21" s="146"/>
      <c r="G21" s="146"/>
      <c r="H21" s="147"/>
    </row>
    <row r="22" spans="1:8" ht="15" customHeight="1" x14ac:dyDescent="0.25">
      <c r="A22" s="48" t="s">
        <v>22</v>
      </c>
      <c r="B22" s="48" t="s">
        <v>39</v>
      </c>
      <c r="C22" s="48" t="s">
        <v>40</v>
      </c>
      <c r="D22" s="48" t="s">
        <v>41</v>
      </c>
      <c r="E22" s="48" t="s">
        <v>42</v>
      </c>
      <c r="F22" s="48" t="s">
        <v>60</v>
      </c>
      <c r="G22" s="48" t="s">
        <v>44</v>
      </c>
      <c r="H22" s="48"/>
    </row>
    <row r="23" spans="1:8" ht="15" customHeight="1" x14ac:dyDescent="0.25">
      <c r="A23" s="49" t="s">
        <v>283</v>
      </c>
      <c r="B23" s="50" t="s">
        <v>61</v>
      </c>
      <c r="C23" s="49" t="s">
        <v>62</v>
      </c>
      <c r="D23" s="49" t="s">
        <v>50</v>
      </c>
      <c r="E23" s="51">
        <v>1475</v>
      </c>
      <c r="F23" s="49"/>
      <c r="G23" s="49"/>
      <c r="H23" s="49"/>
    </row>
    <row r="24" spans="1:8" ht="15" customHeight="1" x14ac:dyDescent="0.25">
      <c r="A24" s="52" t="s">
        <v>283</v>
      </c>
      <c r="B24" s="53" t="s">
        <v>63</v>
      </c>
      <c r="C24" s="52" t="s">
        <v>62</v>
      </c>
      <c r="D24" s="52" t="s">
        <v>50</v>
      </c>
      <c r="E24" s="54">
        <v>1300</v>
      </c>
      <c r="F24" s="52"/>
      <c r="G24" s="52"/>
      <c r="H24" s="52"/>
    </row>
    <row r="25" spans="1:8" ht="15" customHeight="1" x14ac:dyDescent="0.25">
      <c r="A25" s="49" t="s">
        <v>283</v>
      </c>
      <c r="B25" s="50" t="s">
        <v>64</v>
      </c>
      <c r="C25" s="49" t="s">
        <v>62</v>
      </c>
      <c r="D25" s="49" t="s">
        <v>50</v>
      </c>
      <c r="E25" s="51">
        <v>1500</v>
      </c>
      <c r="F25" s="49"/>
      <c r="G25" s="49"/>
      <c r="H25" s="49"/>
    </row>
    <row r="26" spans="1:8" ht="15" customHeight="1" x14ac:dyDescent="0.25">
      <c r="A26" s="52"/>
      <c r="B26" s="53"/>
      <c r="C26" s="52"/>
      <c r="D26" s="52"/>
      <c r="E26" s="54"/>
      <c r="F26" s="52"/>
      <c r="G26" s="52"/>
      <c r="H26" s="52"/>
    </row>
    <row r="27" spans="1:8" ht="15" customHeight="1" x14ac:dyDescent="0.25">
      <c r="A27" s="55"/>
      <c r="B27" s="55"/>
      <c r="C27" s="55"/>
      <c r="D27" s="55"/>
      <c r="E27" s="56"/>
      <c r="F27" s="55"/>
      <c r="G27" s="55"/>
      <c r="H27" s="55"/>
    </row>
    <row r="28" spans="1:8" ht="15" customHeight="1" x14ac:dyDescent="0.25">
      <c r="A28" s="55"/>
      <c r="B28" s="55"/>
      <c r="C28" s="55"/>
      <c r="D28" s="55"/>
      <c r="E28" s="56"/>
      <c r="F28" s="55"/>
      <c r="G28" s="55"/>
      <c r="H28" s="55"/>
    </row>
    <row r="29" spans="1:8" ht="15" customHeight="1" x14ac:dyDescent="0.25">
      <c r="A29" s="157" t="s">
        <v>66</v>
      </c>
      <c r="B29" s="152"/>
      <c r="C29" s="152"/>
      <c r="D29" s="153"/>
      <c r="E29" s="46">
        <f>SUM(E23:E28)</f>
        <v>4275</v>
      </c>
      <c r="F29" s="47"/>
      <c r="G29" s="47"/>
      <c r="H29" s="47"/>
    </row>
    <row r="30" spans="1:8" ht="15.75" customHeight="1" x14ac:dyDescent="0.25">
      <c r="A30" s="17"/>
      <c r="B30" s="17"/>
      <c r="C30" s="17"/>
      <c r="D30" s="17"/>
      <c r="E30" s="17"/>
      <c r="F30" s="17"/>
      <c r="G30" s="17"/>
      <c r="H30" s="17"/>
    </row>
    <row r="31" spans="1:8" ht="19.5" customHeight="1" x14ac:dyDescent="0.25">
      <c r="A31" s="159" t="s">
        <v>67</v>
      </c>
      <c r="B31" s="146"/>
      <c r="C31" s="146"/>
      <c r="D31" s="146"/>
      <c r="E31" s="146"/>
      <c r="F31" s="146"/>
      <c r="G31" s="146"/>
      <c r="H31" s="147"/>
    </row>
    <row r="32" spans="1:8" ht="15" customHeight="1" x14ac:dyDescent="0.25">
      <c r="A32" s="151" t="s">
        <v>68</v>
      </c>
      <c r="B32" s="152"/>
      <c r="C32" s="152"/>
      <c r="D32" s="153"/>
      <c r="E32" s="57">
        <f>E29-E19</f>
        <v>1195</v>
      </c>
      <c r="F32" s="58"/>
      <c r="G32" s="58"/>
      <c r="H32" s="58"/>
    </row>
    <row r="33" spans="1:8" ht="15" customHeight="1" x14ac:dyDescent="0.25">
      <c r="A33" s="151" t="s">
        <v>76</v>
      </c>
      <c r="B33" s="152"/>
      <c r="C33" s="152"/>
      <c r="D33" s="153"/>
      <c r="E33" s="57">
        <f>0.7*(E29-E19)</f>
        <v>836.5</v>
      </c>
      <c r="F33" s="58"/>
      <c r="G33" s="58"/>
      <c r="H33" s="58"/>
    </row>
    <row r="34" spans="1:8" ht="15" customHeight="1" x14ac:dyDescent="0.25">
      <c r="A34" s="151" t="s">
        <v>70</v>
      </c>
      <c r="B34" s="152"/>
      <c r="C34" s="152"/>
      <c r="D34" s="153"/>
      <c r="E34" s="57">
        <f>E19/6</f>
        <v>513.33333333333337</v>
      </c>
      <c r="F34" s="58"/>
      <c r="G34" s="58"/>
      <c r="H34" s="58"/>
    </row>
    <row r="35" spans="1:8" ht="15.75" customHeight="1" x14ac:dyDescent="0.25">
      <c r="A35" s="17"/>
      <c r="B35" s="17"/>
      <c r="C35" s="17"/>
      <c r="D35" s="17"/>
      <c r="E35" s="17"/>
      <c r="F35" s="17"/>
      <c r="G35" s="17"/>
      <c r="H35" s="17"/>
    </row>
    <row r="36" spans="1:8" ht="15.75" customHeight="1" x14ac:dyDescent="0.25">
      <c r="A36" s="17"/>
      <c r="B36" s="17"/>
      <c r="C36" s="17"/>
      <c r="D36" s="17"/>
      <c r="E36" s="17"/>
      <c r="F36" s="17"/>
      <c r="G36" s="17"/>
      <c r="H36" s="17"/>
    </row>
    <row r="37" spans="1:8" ht="15.75" customHeight="1" x14ac:dyDescent="0.25">
      <c r="A37" s="17"/>
      <c r="B37" s="17"/>
      <c r="C37" s="17"/>
      <c r="D37" s="17"/>
      <c r="E37" s="17"/>
      <c r="F37" s="17"/>
      <c r="G37" s="17"/>
      <c r="H37" s="17"/>
    </row>
    <row r="38" spans="1:8" ht="15.75" customHeight="1" x14ac:dyDescent="0.25">
      <c r="A38" s="17"/>
      <c r="B38" s="17"/>
      <c r="C38" s="17"/>
      <c r="D38" s="17"/>
      <c r="E38" s="17"/>
      <c r="F38" s="17"/>
      <c r="G38" s="17"/>
      <c r="H38" s="17"/>
    </row>
    <row r="39" spans="1:8" ht="15.75" customHeight="1" x14ac:dyDescent="0.25">
      <c r="A39" s="17"/>
      <c r="B39" s="17"/>
      <c r="C39" s="17"/>
      <c r="D39" s="17"/>
      <c r="E39" s="17"/>
      <c r="F39" s="17"/>
      <c r="G39" s="17"/>
      <c r="H39" s="17"/>
    </row>
    <row r="40" spans="1:8" ht="15.75" customHeight="1" x14ac:dyDescent="0.25">
      <c r="A40" s="17"/>
      <c r="B40" s="17"/>
      <c r="C40" s="17"/>
      <c r="D40" s="17"/>
      <c r="E40" s="17"/>
      <c r="F40" s="17"/>
      <c r="G40" s="17"/>
      <c r="H40" s="17"/>
    </row>
    <row r="41" spans="1:8" ht="15.75" customHeight="1" x14ac:dyDescent="0.25">
      <c r="A41" s="17"/>
      <c r="B41" s="17"/>
      <c r="C41" s="17"/>
      <c r="D41" s="17"/>
      <c r="E41" s="17"/>
      <c r="F41" s="17"/>
      <c r="G41" s="17"/>
      <c r="H41" s="17"/>
    </row>
    <row r="42" spans="1:8" ht="15.75" customHeight="1" x14ac:dyDescent="0.25">
      <c r="A42" s="17"/>
      <c r="B42" s="17"/>
      <c r="C42" s="17"/>
      <c r="D42" s="17"/>
      <c r="E42" s="17"/>
      <c r="F42" s="17"/>
      <c r="G42" s="17"/>
      <c r="H42" s="17"/>
    </row>
    <row r="43" spans="1:8" ht="15.75" customHeight="1" x14ac:dyDescent="0.25">
      <c r="A43" s="17"/>
      <c r="B43" s="17"/>
      <c r="C43" s="17"/>
      <c r="D43" s="17"/>
      <c r="E43" s="17"/>
      <c r="F43" s="17"/>
      <c r="G43" s="17"/>
      <c r="H43" s="17"/>
    </row>
    <row r="44" spans="1:8" ht="15.75" customHeight="1" x14ac:dyDescent="0.25">
      <c r="A44" s="17"/>
      <c r="B44" s="17"/>
      <c r="C44" s="17"/>
      <c r="D44" s="17"/>
      <c r="E44" s="17"/>
      <c r="F44" s="17"/>
      <c r="G44" s="17"/>
      <c r="H44" s="17"/>
    </row>
    <row r="45" spans="1:8" ht="15.75" customHeight="1" x14ac:dyDescent="0.25">
      <c r="A45" s="17"/>
      <c r="B45" s="17"/>
      <c r="C45" s="17"/>
      <c r="D45" s="17"/>
      <c r="E45" s="17"/>
      <c r="F45" s="17"/>
      <c r="G45" s="17"/>
      <c r="H45" s="17"/>
    </row>
    <row r="46" spans="1:8" ht="15.75" customHeight="1" x14ac:dyDescent="0.25">
      <c r="A46" s="17"/>
      <c r="B46" s="17"/>
      <c r="C46" s="17"/>
      <c r="D46" s="17"/>
      <c r="E46" s="17"/>
      <c r="F46" s="17"/>
      <c r="G46" s="17"/>
      <c r="H46" s="17"/>
    </row>
    <row r="47" spans="1:8" ht="15.75" customHeight="1" x14ac:dyDescent="0.25">
      <c r="A47" s="17"/>
      <c r="B47" s="17"/>
      <c r="C47" s="17"/>
      <c r="D47" s="17"/>
      <c r="E47" s="17"/>
      <c r="F47" s="17"/>
      <c r="G47" s="17"/>
      <c r="H47" s="17"/>
    </row>
    <row r="48" spans="1:8" ht="15.75" customHeight="1" x14ac:dyDescent="0.25">
      <c r="A48" s="17"/>
      <c r="B48" s="17"/>
      <c r="C48" s="17"/>
      <c r="D48" s="17"/>
      <c r="E48" s="17"/>
      <c r="F48" s="17"/>
      <c r="G48" s="17"/>
      <c r="H48" s="17"/>
    </row>
    <row r="49" spans="1:8" ht="15.75" customHeight="1" x14ac:dyDescent="0.25">
      <c r="A49" s="17"/>
      <c r="B49" s="17"/>
      <c r="C49" s="17"/>
      <c r="D49" s="17"/>
      <c r="E49" s="17"/>
      <c r="F49" s="17"/>
      <c r="G49" s="17"/>
      <c r="H49" s="17"/>
    </row>
    <row r="50" spans="1:8" ht="15.75" customHeight="1" x14ac:dyDescent="0.25">
      <c r="A50" s="17"/>
      <c r="B50" s="17"/>
      <c r="C50" s="17"/>
      <c r="D50" s="17"/>
      <c r="E50" s="17"/>
      <c r="F50" s="17"/>
      <c r="G50" s="17"/>
      <c r="H50" s="17"/>
    </row>
    <row r="51" spans="1:8" ht="15.75" customHeight="1" x14ac:dyDescent="0.25">
      <c r="A51" s="17"/>
      <c r="B51" s="17"/>
      <c r="C51" s="17"/>
      <c r="D51" s="17"/>
      <c r="E51" s="17"/>
      <c r="F51" s="17"/>
      <c r="G51" s="17"/>
      <c r="H51" s="17"/>
    </row>
    <row r="52" spans="1:8" ht="15.75" customHeight="1" x14ac:dyDescent="0.25">
      <c r="A52" s="17"/>
      <c r="B52" s="17"/>
      <c r="C52" s="17"/>
      <c r="D52" s="17"/>
      <c r="E52" s="17"/>
      <c r="F52" s="17"/>
      <c r="G52" s="17"/>
      <c r="H52" s="17"/>
    </row>
    <row r="53" spans="1:8" ht="15.75" customHeight="1" x14ac:dyDescent="0.25">
      <c r="A53" s="17"/>
      <c r="B53" s="17"/>
      <c r="C53" s="17"/>
      <c r="D53" s="17"/>
      <c r="E53" s="17"/>
      <c r="F53" s="17"/>
      <c r="G53" s="17"/>
      <c r="H53" s="17"/>
    </row>
    <row r="54" spans="1:8" ht="15.75" customHeight="1" x14ac:dyDescent="0.25">
      <c r="A54" s="17"/>
      <c r="B54" s="17"/>
      <c r="C54" s="17"/>
      <c r="D54" s="17"/>
      <c r="E54" s="17"/>
      <c r="F54" s="17"/>
      <c r="G54" s="17"/>
      <c r="H54" s="17"/>
    </row>
    <row r="55" spans="1:8" ht="15.75" customHeight="1" x14ac:dyDescent="0.25">
      <c r="A55" s="17"/>
      <c r="B55" s="17"/>
      <c r="C55" s="17"/>
      <c r="D55" s="17"/>
      <c r="E55" s="17"/>
      <c r="F55" s="17"/>
      <c r="G55" s="17"/>
      <c r="H55" s="17"/>
    </row>
    <row r="56" spans="1:8" ht="15.75" customHeight="1" x14ac:dyDescent="0.25">
      <c r="A56" s="17"/>
      <c r="B56" s="17"/>
      <c r="C56" s="17"/>
      <c r="D56" s="17"/>
      <c r="E56" s="17"/>
      <c r="F56" s="17"/>
      <c r="G56" s="17"/>
      <c r="H56" s="17"/>
    </row>
    <row r="57" spans="1:8" ht="15.75" customHeight="1" x14ac:dyDescent="0.25">
      <c r="A57" s="17"/>
      <c r="B57" s="17"/>
      <c r="C57" s="17"/>
      <c r="D57" s="17"/>
      <c r="E57" s="17"/>
      <c r="F57" s="17"/>
      <c r="G57" s="17"/>
      <c r="H57" s="17"/>
    </row>
    <row r="58" spans="1:8" ht="15.75" customHeight="1" x14ac:dyDescent="0.25">
      <c r="A58" s="17"/>
      <c r="B58" s="17"/>
      <c r="C58" s="17"/>
      <c r="D58" s="17"/>
      <c r="E58" s="17"/>
      <c r="F58" s="17"/>
      <c r="G58" s="17"/>
      <c r="H58" s="17"/>
    </row>
    <row r="59" spans="1:8" ht="15.75" customHeight="1" x14ac:dyDescent="0.25">
      <c r="A59" s="17"/>
      <c r="B59" s="17"/>
      <c r="C59" s="17"/>
      <c r="D59" s="17"/>
      <c r="E59" s="17"/>
      <c r="F59" s="17"/>
      <c r="G59" s="17"/>
      <c r="H59" s="17"/>
    </row>
    <row r="60" spans="1:8" ht="15.75" customHeight="1" x14ac:dyDescent="0.25">
      <c r="A60" s="17"/>
      <c r="B60" s="17"/>
      <c r="C60" s="17"/>
      <c r="D60" s="17"/>
      <c r="E60" s="17"/>
      <c r="F60" s="17"/>
      <c r="G60" s="17"/>
      <c r="H60" s="17"/>
    </row>
    <row r="61" spans="1:8" ht="15.75" customHeight="1" x14ac:dyDescent="0.25">
      <c r="A61" s="17"/>
      <c r="B61" s="17"/>
      <c r="C61" s="17"/>
      <c r="D61" s="17"/>
      <c r="E61" s="17"/>
      <c r="F61" s="17"/>
      <c r="G61" s="17"/>
      <c r="H61" s="17"/>
    </row>
    <row r="62" spans="1:8" ht="15.75" customHeight="1" x14ac:dyDescent="0.25">
      <c r="A62" s="17"/>
      <c r="B62" s="17"/>
      <c r="C62" s="17"/>
      <c r="D62" s="17"/>
      <c r="E62" s="17"/>
      <c r="F62" s="17"/>
      <c r="G62" s="17"/>
      <c r="H62" s="17"/>
    </row>
    <row r="63" spans="1:8" ht="15.75" customHeight="1" x14ac:dyDescent="0.25">
      <c r="A63" s="17"/>
      <c r="B63" s="17"/>
      <c r="C63" s="17"/>
      <c r="D63" s="17"/>
      <c r="E63" s="17"/>
      <c r="F63" s="17"/>
      <c r="G63" s="17"/>
      <c r="H63" s="17"/>
    </row>
    <row r="64" spans="1:8" ht="15.75" customHeight="1" x14ac:dyDescent="0.25">
      <c r="A64" s="17"/>
      <c r="B64" s="17"/>
      <c r="C64" s="17"/>
      <c r="D64" s="17"/>
      <c r="E64" s="17"/>
      <c r="F64" s="17"/>
      <c r="G64" s="17"/>
      <c r="H64" s="17"/>
    </row>
    <row r="65" spans="1:8" ht="15.75" customHeight="1" x14ac:dyDescent="0.25">
      <c r="A65" s="17"/>
      <c r="B65" s="17"/>
      <c r="C65" s="17"/>
      <c r="D65" s="17"/>
      <c r="E65" s="17"/>
      <c r="F65" s="17"/>
      <c r="G65" s="17"/>
      <c r="H65" s="17"/>
    </row>
    <row r="66" spans="1:8" ht="15.75" customHeight="1" x14ac:dyDescent="0.25">
      <c r="A66" s="17"/>
      <c r="B66" s="17"/>
      <c r="C66" s="17"/>
      <c r="D66" s="17"/>
      <c r="E66" s="17"/>
      <c r="F66" s="17"/>
      <c r="G66" s="17"/>
      <c r="H66" s="17"/>
    </row>
    <row r="67" spans="1:8" ht="15.75" customHeight="1" x14ac:dyDescent="0.25">
      <c r="A67" s="17"/>
      <c r="B67" s="17"/>
      <c r="C67" s="17"/>
      <c r="D67" s="17"/>
      <c r="E67" s="17"/>
      <c r="F67" s="17"/>
      <c r="G67" s="17"/>
      <c r="H67" s="17"/>
    </row>
    <row r="68" spans="1:8" ht="15.75" customHeight="1" x14ac:dyDescent="0.25">
      <c r="A68" s="17"/>
      <c r="B68" s="17"/>
      <c r="C68" s="17"/>
      <c r="D68" s="17"/>
      <c r="E68" s="17"/>
      <c r="F68" s="17"/>
      <c r="G68" s="17"/>
      <c r="H68" s="17"/>
    </row>
    <row r="69" spans="1:8" ht="15.75" customHeight="1" x14ac:dyDescent="0.25">
      <c r="A69" s="17"/>
      <c r="B69" s="17"/>
      <c r="C69" s="17"/>
      <c r="D69" s="17"/>
      <c r="E69" s="17"/>
      <c r="F69" s="17"/>
      <c r="G69" s="17"/>
      <c r="H69" s="17"/>
    </row>
    <row r="70" spans="1:8" ht="15.75" customHeight="1" x14ac:dyDescent="0.25">
      <c r="A70" s="17"/>
      <c r="B70" s="17"/>
      <c r="C70" s="17"/>
      <c r="D70" s="17"/>
      <c r="E70" s="17"/>
      <c r="F70" s="17"/>
      <c r="G70" s="17"/>
      <c r="H70" s="17"/>
    </row>
    <row r="71" spans="1:8" ht="15.75" customHeight="1" x14ac:dyDescent="0.25">
      <c r="A71" s="17"/>
      <c r="B71" s="17"/>
      <c r="C71" s="17"/>
      <c r="D71" s="17"/>
      <c r="E71" s="17"/>
      <c r="F71" s="17"/>
      <c r="G71" s="17"/>
      <c r="H71" s="17"/>
    </row>
    <row r="72" spans="1:8" ht="15.75" customHeight="1" x14ac:dyDescent="0.25">
      <c r="A72" s="17"/>
      <c r="B72" s="17"/>
      <c r="C72" s="17"/>
      <c r="D72" s="17"/>
      <c r="E72" s="17"/>
      <c r="F72" s="17"/>
      <c r="G72" s="17"/>
      <c r="H72" s="17"/>
    </row>
    <row r="73" spans="1:8" ht="15.75" customHeight="1" x14ac:dyDescent="0.25">
      <c r="A73" s="17"/>
      <c r="B73" s="17"/>
      <c r="C73" s="17"/>
      <c r="D73" s="17"/>
      <c r="E73" s="17"/>
      <c r="F73" s="17"/>
      <c r="G73" s="17"/>
      <c r="H73" s="17"/>
    </row>
    <row r="74" spans="1:8" ht="15.75" customHeight="1" x14ac:dyDescent="0.25">
      <c r="A74" s="17"/>
      <c r="B74" s="17"/>
      <c r="C74" s="17"/>
      <c r="D74" s="17"/>
      <c r="E74" s="17"/>
      <c r="F74" s="17"/>
      <c r="G74" s="17"/>
      <c r="H74" s="17"/>
    </row>
    <row r="75" spans="1:8" ht="15.75" customHeight="1" x14ac:dyDescent="0.25">
      <c r="A75" s="17"/>
      <c r="B75" s="17"/>
      <c r="C75" s="17"/>
      <c r="D75" s="17"/>
      <c r="E75" s="17"/>
      <c r="F75" s="17"/>
      <c r="G75" s="17"/>
      <c r="H75" s="17"/>
    </row>
    <row r="76" spans="1:8" ht="15.75" customHeight="1" x14ac:dyDescent="0.25">
      <c r="A76" s="17"/>
      <c r="B76" s="17"/>
      <c r="C76" s="17"/>
      <c r="D76" s="17"/>
      <c r="E76" s="17"/>
      <c r="F76" s="17"/>
      <c r="G76" s="17"/>
      <c r="H76" s="17"/>
    </row>
    <row r="77" spans="1:8" ht="15.75" customHeight="1" x14ac:dyDescent="0.25">
      <c r="A77" s="17"/>
      <c r="B77" s="17"/>
      <c r="C77" s="17"/>
      <c r="D77" s="17"/>
      <c r="E77" s="17"/>
      <c r="F77" s="17"/>
      <c r="G77" s="17"/>
      <c r="H77" s="17"/>
    </row>
    <row r="78" spans="1:8" ht="15.75" customHeight="1" x14ac:dyDescent="0.25">
      <c r="A78" s="17"/>
      <c r="B78" s="17"/>
      <c r="C78" s="17"/>
      <c r="D78" s="17"/>
      <c r="E78" s="17"/>
      <c r="F78" s="17"/>
      <c r="G78" s="17"/>
      <c r="H78" s="17"/>
    </row>
    <row r="79" spans="1:8" ht="15.75" customHeight="1" x14ac:dyDescent="0.25">
      <c r="A79" s="17"/>
      <c r="B79" s="17"/>
      <c r="C79" s="17"/>
      <c r="D79" s="17"/>
      <c r="E79" s="17"/>
      <c r="F79" s="17"/>
      <c r="G79" s="17"/>
      <c r="H79" s="17"/>
    </row>
    <row r="80" spans="1:8" ht="15.75" customHeight="1" x14ac:dyDescent="0.25">
      <c r="A80" s="17"/>
      <c r="B80" s="17"/>
      <c r="C80" s="17"/>
      <c r="D80" s="17"/>
      <c r="E80" s="17"/>
      <c r="F80" s="17"/>
      <c r="G80" s="17"/>
      <c r="H80" s="17"/>
    </row>
    <row r="81" spans="1:8" ht="15.75" customHeight="1" x14ac:dyDescent="0.25">
      <c r="A81" s="17"/>
      <c r="B81" s="17"/>
      <c r="C81" s="17"/>
      <c r="D81" s="17"/>
      <c r="E81" s="17"/>
      <c r="F81" s="17"/>
      <c r="G81" s="17"/>
      <c r="H81" s="17"/>
    </row>
    <row r="82" spans="1:8" ht="15.75" customHeight="1" x14ac:dyDescent="0.25">
      <c r="A82" s="17"/>
      <c r="B82" s="17"/>
      <c r="C82" s="17"/>
      <c r="D82" s="17"/>
      <c r="E82" s="17"/>
      <c r="F82" s="17"/>
      <c r="G82" s="17"/>
      <c r="H82" s="17"/>
    </row>
    <row r="83" spans="1:8" ht="15.75" customHeight="1" x14ac:dyDescent="0.25">
      <c r="A83" s="17"/>
      <c r="B83" s="17"/>
      <c r="C83" s="17"/>
      <c r="D83" s="17"/>
      <c r="E83" s="17"/>
      <c r="F83" s="17"/>
      <c r="G83" s="17"/>
      <c r="H83" s="17"/>
    </row>
    <row r="84" spans="1:8" ht="15.75" customHeight="1" x14ac:dyDescent="0.25">
      <c r="A84" s="17"/>
      <c r="B84" s="17"/>
      <c r="C84" s="17"/>
      <c r="D84" s="17"/>
      <c r="E84" s="17"/>
      <c r="F84" s="17"/>
      <c r="G84" s="17"/>
      <c r="H84" s="17"/>
    </row>
    <row r="85" spans="1:8" ht="15.75" customHeight="1" x14ac:dyDescent="0.25">
      <c r="A85" s="17"/>
      <c r="B85" s="17"/>
      <c r="C85" s="17"/>
      <c r="D85" s="17"/>
      <c r="E85" s="17"/>
      <c r="F85" s="17"/>
      <c r="G85" s="17"/>
      <c r="H85" s="17"/>
    </row>
    <row r="86" spans="1:8" ht="15.75" customHeight="1" x14ac:dyDescent="0.25">
      <c r="A86" s="17"/>
      <c r="B86" s="17"/>
      <c r="C86" s="17"/>
      <c r="D86" s="17"/>
      <c r="E86" s="17"/>
      <c r="F86" s="17"/>
      <c r="G86" s="17"/>
      <c r="H86" s="17"/>
    </row>
    <row r="87" spans="1:8" ht="15.75" customHeight="1" x14ac:dyDescent="0.25">
      <c r="A87" s="17"/>
      <c r="B87" s="17"/>
      <c r="C87" s="17"/>
      <c r="D87" s="17"/>
      <c r="E87" s="17"/>
      <c r="F87" s="17"/>
      <c r="G87" s="17"/>
      <c r="H87" s="17"/>
    </row>
    <row r="88" spans="1:8" ht="15.75" customHeight="1" x14ac:dyDescent="0.25">
      <c r="A88" s="17"/>
      <c r="B88" s="17"/>
      <c r="C88" s="17"/>
      <c r="D88" s="17"/>
      <c r="E88" s="17"/>
      <c r="F88" s="17"/>
      <c r="G88" s="17"/>
      <c r="H88" s="17"/>
    </row>
    <row r="89" spans="1:8" ht="15.75" customHeight="1" x14ac:dyDescent="0.25">
      <c r="A89" s="17"/>
      <c r="B89" s="17"/>
      <c r="C89" s="17"/>
      <c r="D89" s="17"/>
      <c r="E89" s="17"/>
      <c r="F89" s="17"/>
      <c r="G89" s="17"/>
      <c r="H89" s="17"/>
    </row>
    <row r="90" spans="1:8" ht="15.75" customHeight="1" x14ac:dyDescent="0.25">
      <c r="A90" s="17"/>
      <c r="B90" s="17"/>
      <c r="C90" s="17"/>
      <c r="D90" s="17"/>
      <c r="E90" s="17"/>
      <c r="F90" s="17"/>
      <c r="G90" s="17"/>
      <c r="H90" s="17"/>
    </row>
    <row r="91" spans="1:8" ht="15.75" customHeight="1" x14ac:dyDescent="0.25">
      <c r="A91" s="17"/>
      <c r="B91" s="17"/>
      <c r="C91" s="17"/>
      <c r="D91" s="17"/>
      <c r="E91" s="17"/>
      <c r="F91" s="17"/>
      <c r="G91" s="17"/>
      <c r="H91" s="17"/>
    </row>
    <row r="92" spans="1:8" ht="15.75" customHeight="1" x14ac:dyDescent="0.25">
      <c r="A92" s="17"/>
      <c r="B92" s="17"/>
      <c r="C92" s="17"/>
      <c r="D92" s="17"/>
      <c r="E92" s="17"/>
      <c r="F92" s="17"/>
      <c r="G92" s="17"/>
      <c r="H92" s="17"/>
    </row>
    <row r="93" spans="1:8" ht="15.75" customHeight="1" x14ac:dyDescent="0.25">
      <c r="A93" s="17"/>
      <c r="B93" s="17"/>
      <c r="C93" s="17"/>
      <c r="D93" s="17"/>
      <c r="E93" s="17"/>
      <c r="F93" s="17"/>
      <c r="G93" s="17"/>
      <c r="H93" s="17"/>
    </row>
    <row r="94" spans="1:8" ht="15.75" customHeight="1" x14ac:dyDescent="0.25">
      <c r="A94" s="17"/>
      <c r="B94" s="17"/>
      <c r="C94" s="17"/>
      <c r="D94" s="17"/>
      <c r="E94" s="17"/>
      <c r="F94" s="17"/>
      <c r="G94" s="17"/>
      <c r="H94" s="17"/>
    </row>
    <row r="95" spans="1:8" ht="15.75" customHeight="1" x14ac:dyDescent="0.25">
      <c r="A95" s="17"/>
      <c r="B95" s="17"/>
      <c r="C95" s="17"/>
      <c r="D95" s="17"/>
      <c r="E95" s="17"/>
      <c r="F95" s="17"/>
      <c r="G95" s="17"/>
      <c r="H95" s="17"/>
    </row>
    <row r="96" spans="1:8" ht="15.75" customHeight="1" x14ac:dyDescent="0.25">
      <c r="A96" s="17"/>
      <c r="B96" s="17"/>
      <c r="C96" s="17"/>
      <c r="D96" s="17"/>
      <c r="E96" s="17"/>
      <c r="F96" s="17"/>
      <c r="G96" s="17"/>
      <c r="H96" s="17"/>
    </row>
    <row r="97" spans="1:8" ht="15.75" customHeight="1" x14ac:dyDescent="0.25">
      <c r="A97" s="17"/>
      <c r="B97" s="17"/>
      <c r="C97" s="17"/>
      <c r="D97" s="17"/>
      <c r="E97" s="17"/>
      <c r="F97" s="17"/>
      <c r="G97" s="17"/>
      <c r="H97" s="17"/>
    </row>
    <row r="98" spans="1:8" ht="15.75" customHeight="1" x14ac:dyDescent="0.25">
      <c r="A98" s="17"/>
      <c r="B98" s="17"/>
      <c r="C98" s="17"/>
      <c r="D98" s="17"/>
      <c r="E98" s="17"/>
      <c r="F98" s="17"/>
      <c r="G98" s="17"/>
      <c r="H98" s="17"/>
    </row>
    <row r="99" spans="1:8" ht="15.75" customHeight="1" x14ac:dyDescent="0.25">
      <c r="A99" s="17"/>
      <c r="B99" s="17"/>
      <c r="C99" s="17"/>
      <c r="D99" s="17"/>
      <c r="E99" s="17"/>
      <c r="F99" s="17"/>
      <c r="G99" s="17"/>
      <c r="H99" s="17"/>
    </row>
    <row r="100" spans="1:8" ht="15.75" customHeight="1" x14ac:dyDescent="0.25">
      <c r="A100" s="17"/>
      <c r="B100" s="17"/>
      <c r="C100" s="17"/>
      <c r="D100" s="17"/>
      <c r="E100" s="17"/>
      <c r="F100" s="17"/>
      <c r="G100" s="17"/>
      <c r="H100" s="17"/>
    </row>
  </sheetData>
  <mergeCells count="19">
    <mergeCell ref="A1:H1"/>
    <mergeCell ref="A2:B2"/>
    <mergeCell ref="C2:D2"/>
    <mergeCell ref="E2:F2"/>
    <mergeCell ref="G2:H2"/>
    <mergeCell ref="A5:H5"/>
    <mergeCell ref="A32:D32"/>
    <mergeCell ref="A33:D33"/>
    <mergeCell ref="A34:D34"/>
    <mergeCell ref="C3:D3"/>
    <mergeCell ref="A17:D17"/>
    <mergeCell ref="A18:D18"/>
    <mergeCell ref="A19:D19"/>
    <mergeCell ref="A21:H21"/>
    <mergeCell ref="A29:D29"/>
    <mergeCell ref="A31:H31"/>
    <mergeCell ref="E3:F3"/>
    <mergeCell ref="G3:H3"/>
    <mergeCell ref="A3:B3"/>
  </mergeCells>
  <pageMargins left="0.75" right="0.75" top="1" bottom="1" header="0" footer="0"/>
  <pageSetup paperSize="9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2E86AB"/>
  </sheetPr>
  <dimension ref="A1:H100"/>
  <sheetViews>
    <sheetView workbookViewId="0">
      <selection sqref="A1:H1"/>
    </sheetView>
  </sheetViews>
  <sheetFormatPr defaultColWidth="14.42578125" defaultRowHeight="15" customHeight="1" x14ac:dyDescent="0.25"/>
  <cols>
    <col min="1" max="1" width="10" customWidth="1"/>
    <col min="2" max="2" width="26" customWidth="1"/>
    <col min="3" max="7" width="16" customWidth="1"/>
    <col min="8" max="8" width="20" customWidth="1"/>
  </cols>
  <sheetData>
    <row r="1" spans="1:8" ht="27.75" customHeight="1" x14ac:dyDescent="0.25">
      <c r="A1" s="163" t="s">
        <v>286</v>
      </c>
      <c r="B1" s="146"/>
      <c r="C1" s="146"/>
      <c r="D1" s="146"/>
      <c r="E1" s="146"/>
      <c r="F1" s="146"/>
      <c r="G1" s="146"/>
      <c r="H1" s="147"/>
    </row>
    <row r="2" spans="1:8" ht="18" customHeight="1" x14ac:dyDescent="0.25">
      <c r="A2" s="164" t="s">
        <v>34</v>
      </c>
      <c r="B2" s="147"/>
      <c r="C2" s="164" t="s">
        <v>35</v>
      </c>
      <c r="D2" s="147"/>
      <c r="E2" s="164" t="s">
        <v>36</v>
      </c>
      <c r="F2" s="147"/>
      <c r="G2" s="164" t="s">
        <v>37</v>
      </c>
      <c r="H2" s="147"/>
    </row>
    <row r="3" spans="1:8" ht="21.75" customHeight="1" x14ac:dyDescent="0.25">
      <c r="A3" s="162">
        <f>E29</f>
        <v>4275</v>
      </c>
      <c r="B3" s="147"/>
      <c r="C3" s="154">
        <f>E19</f>
        <v>3080</v>
      </c>
      <c r="D3" s="147"/>
      <c r="E3" s="160">
        <f>E29-E19</f>
        <v>1195</v>
      </c>
      <c r="F3" s="147"/>
      <c r="G3" s="161">
        <f>IF(E29&gt;0,(E29-E19)/E29,0)</f>
        <v>0.27953216374269008</v>
      </c>
      <c r="H3" s="147"/>
    </row>
    <row r="4" spans="1:8" ht="14.25" customHeight="1" x14ac:dyDescent="0.25">
      <c r="A4" s="17"/>
      <c r="B4" s="17"/>
      <c r="C4" s="17"/>
      <c r="D4" s="17"/>
      <c r="E4" s="17"/>
      <c r="F4" s="17"/>
      <c r="G4" s="17"/>
      <c r="H4" s="17"/>
    </row>
    <row r="5" spans="1:8" ht="19.5" customHeight="1" x14ac:dyDescent="0.25">
      <c r="A5" s="150" t="s">
        <v>287</v>
      </c>
      <c r="B5" s="146"/>
      <c r="C5" s="146"/>
      <c r="D5" s="146"/>
      <c r="E5" s="146"/>
      <c r="F5" s="146"/>
      <c r="G5" s="146"/>
      <c r="H5" s="147"/>
    </row>
    <row r="6" spans="1:8" ht="15" customHeight="1" x14ac:dyDescent="0.25">
      <c r="A6" s="36" t="s">
        <v>22</v>
      </c>
      <c r="B6" s="36" t="s">
        <v>39</v>
      </c>
      <c r="C6" s="36" t="s">
        <v>40</v>
      </c>
      <c r="D6" s="36" t="s">
        <v>41</v>
      </c>
      <c r="E6" s="36" t="s">
        <v>42</v>
      </c>
      <c r="F6" s="36" t="s">
        <v>43</v>
      </c>
      <c r="G6" s="36" t="s">
        <v>44</v>
      </c>
      <c r="H6" s="36"/>
    </row>
    <row r="7" spans="1:8" ht="15" customHeight="1" x14ac:dyDescent="0.25">
      <c r="A7" s="37" t="s">
        <v>288</v>
      </c>
      <c r="B7" s="38" t="s">
        <v>46</v>
      </c>
      <c r="C7" s="37" t="s">
        <v>167</v>
      </c>
      <c r="D7" s="37" t="s">
        <v>48</v>
      </c>
      <c r="E7" s="39">
        <v>86</v>
      </c>
      <c r="F7" s="37"/>
      <c r="G7" s="37"/>
      <c r="H7" s="37"/>
    </row>
    <row r="8" spans="1:8" ht="15" customHeight="1" x14ac:dyDescent="0.25">
      <c r="A8" s="40" t="s">
        <v>288</v>
      </c>
      <c r="B8" s="41" t="s">
        <v>49</v>
      </c>
      <c r="C8" s="40"/>
      <c r="D8" s="40" t="s">
        <v>50</v>
      </c>
      <c r="E8" s="42">
        <v>216</v>
      </c>
      <c r="F8" s="40"/>
      <c r="G8" s="40"/>
      <c r="H8" s="40"/>
    </row>
    <row r="9" spans="1:8" ht="15" customHeight="1" x14ac:dyDescent="0.25">
      <c r="A9" s="37" t="s">
        <v>288</v>
      </c>
      <c r="B9" s="38" t="s">
        <v>51</v>
      </c>
      <c r="C9" s="37"/>
      <c r="D9" s="37" t="s">
        <v>50</v>
      </c>
      <c r="E9" s="39">
        <v>230</v>
      </c>
      <c r="F9" s="37"/>
      <c r="G9" s="37"/>
      <c r="H9" s="37"/>
    </row>
    <row r="10" spans="1:8" ht="15" customHeight="1" x14ac:dyDescent="0.25">
      <c r="A10" s="40" t="s">
        <v>288</v>
      </c>
      <c r="B10" s="41" t="s">
        <v>52</v>
      </c>
      <c r="C10" s="40"/>
      <c r="D10" s="40" t="s">
        <v>50</v>
      </c>
      <c r="E10" s="42">
        <v>95</v>
      </c>
      <c r="F10" s="40"/>
      <c r="G10" s="40"/>
      <c r="H10" s="40"/>
    </row>
    <row r="11" spans="1:8" ht="15" customHeight="1" x14ac:dyDescent="0.25">
      <c r="A11" s="37" t="s">
        <v>288</v>
      </c>
      <c r="B11" s="38" t="s">
        <v>53</v>
      </c>
      <c r="C11" s="37"/>
      <c r="D11" s="37" t="s">
        <v>50</v>
      </c>
      <c r="E11" s="39">
        <v>120</v>
      </c>
      <c r="F11" s="37"/>
      <c r="G11" s="37"/>
      <c r="H11" s="37"/>
    </row>
    <row r="12" spans="1:8" ht="15" customHeight="1" x14ac:dyDescent="0.25">
      <c r="A12" s="40" t="s">
        <v>288</v>
      </c>
      <c r="B12" s="41" t="s">
        <v>54</v>
      </c>
      <c r="C12" s="40"/>
      <c r="D12" s="40" t="s">
        <v>50</v>
      </c>
      <c r="E12" s="42">
        <v>288</v>
      </c>
      <c r="F12" s="40"/>
      <c r="G12" s="40"/>
      <c r="H12" s="40"/>
    </row>
    <row r="13" spans="1:8" ht="15" customHeight="1" x14ac:dyDescent="0.25">
      <c r="A13" s="37" t="s">
        <v>288</v>
      </c>
      <c r="B13" s="38" t="s">
        <v>55</v>
      </c>
      <c r="C13" s="37"/>
      <c r="D13" s="37" t="s">
        <v>50</v>
      </c>
      <c r="E13" s="39">
        <v>135</v>
      </c>
      <c r="F13" s="37"/>
      <c r="G13" s="37"/>
      <c r="H13" s="37"/>
    </row>
    <row r="14" spans="1:8" ht="15" customHeight="1" x14ac:dyDescent="0.25">
      <c r="A14" s="40" t="s">
        <v>288</v>
      </c>
      <c r="B14" s="40" t="s">
        <v>126</v>
      </c>
      <c r="C14" s="31"/>
      <c r="D14" s="40" t="s">
        <v>50</v>
      </c>
      <c r="E14" s="107">
        <f>'💳 Empréstimo'!F42</f>
        <v>560</v>
      </c>
      <c r="F14" s="31"/>
      <c r="G14" s="40" t="s">
        <v>289</v>
      </c>
      <c r="H14" s="31"/>
    </row>
    <row r="15" spans="1:8" ht="15" customHeight="1" x14ac:dyDescent="0.25">
      <c r="A15" s="31"/>
      <c r="B15" s="31"/>
      <c r="C15" s="31"/>
      <c r="D15" s="31"/>
      <c r="E15" s="29"/>
      <c r="F15" s="31"/>
      <c r="G15" s="31"/>
      <c r="H15" s="31"/>
    </row>
    <row r="16" spans="1:8" ht="15" customHeight="1" x14ac:dyDescent="0.25">
      <c r="A16" s="31"/>
      <c r="B16" s="31"/>
      <c r="C16" s="31"/>
      <c r="D16" s="31"/>
      <c r="E16" s="29"/>
      <c r="F16" s="31"/>
      <c r="G16" s="31"/>
      <c r="H16" s="31"/>
    </row>
    <row r="17" spans="1:8" ht="15" customHeight="1" x14ac:dyDescent="0.25">
      <c r="A17" s="155" t="s">
        <v>56</v>
      </c>
      <c r="B17" s="152"/>
      <c r="C17" s="152"/>
      <c r="D17" s="153"/>
      <c r="E17" s="43">
        <f>SUM(E7:E16)</f>
        <v>1730</v>
      </c>
      <c r="F17" s="44"/>
      <c r="G17" s="44"/>
      <c r="H17" s="44"/>
    </row>
    <row r="18" spans="1:8" ht="15" customHeight="1" x14ac:dyDescent="0.25">
      <c r="A18" s="156" t="s">
        <v>57</v>
      </c>
      <c r="B18" s="152"/>
      <c r="C18" s="152"/>
      <c r="D18" s="153"/>
      <c r="E18" s="45">
        <v>1350</v>
      </c>
      <c r="F18" s="44"/>
      <c r="G18" s="44"/>
      <c r="H18" s="44"/>
    </row>
    <row r="19" spans="1:8" ht="15" customHeight="1" x14ac:dyDescent="0.25">
      <c r="A19" s="157" t="s">
        <v>58</v>
      </c>
      <c r="B19" s="152"/>
      <c r="C19" s="152"/>
      <c r="D19" s="153"/>
      <c r="E19" s="46">
        <f>E17+E18</f>
        <v>3080</v>
      </c>
      <c r="F19" s="47"/>
      <c r="G19" s="47"/>
      <c r="H19" s="47"/>
    </row>
    <row r="20" spans="1:8" ht="14.25" customHeight="1" x14ac:dyDescent="0.25">
      <c r="A20" s="17"/>
      <c r="B20" s="17"/>
      <c r="C20" s="17"/>
      <c r="D20" s="17"/>
      <c r="E20" s="17"/>
      <c r="F20" s="17"/>
      <c r="G20" s="17"/>
      <c r="H20" s="17"/>
    </row>
    <row r="21" spans="1:8" ht="19.5" customHeight="1" x14ac:dyDescent="0.25">
      <c r="A21" s="158" t="s">
        <v>290</v>
      </c>
      <c r="B21" s="146"/>
      <c r="C21" s="146"/>
      <c r="D21" s="146"/>
      <c r="E21" s="146"/>
      <c r="F21" s="146"/>
      <c r="G21" s="146"/>
      <c r="H21" s="147"/>
    </row>
    <row r="22" spans="1:8" ht="15" customHeight="1" x14ac:dyDescent="0.25">
      <c r="A22" s="48" t="s">
        <v>22</v>
      </c>
      <c r="B22" s="48" t="s">
        <v>39</v>
      </c>
      <c r="C22" s="48" t="s">
        <v>40</v>
      </c>
      <c r="D22" s="48" t="s">
        <v>41</v>
      </c>
      <c r="E22" s="48" t="s">
        <v>42</v>
      </c>
      <c r="F22" s="48" t="s">
        <v>60</v>
      </c>
      <c r="G22" s="48" t="s">
        <v>44</v>
      </c>
      <c r="H22" s="48"/>
    </row>
    <row r="23" spans="1:8" ht="15" customHeight="1" x14ac:dyDescent="0.25">
      <c r="A23" s="49" t="s">
        <v>288</v>
      </c>
      <c r="B23" s="50" t="s">
        <v>61</v>
      </c>
      <c r="C23" s="49" t="s">
        <v>62</v>
      </c>
      <c r="D23" s="49" t="s">
        <v>50</v>
      </c>
      <c r="E23" s="51">
        <v>1475</v>
      </c>
      <c r="F23" s="49"/>
      <c r="G23" s="49"/>
      <c r="H23" s="49"/>
    </row>
    <row r="24" spans="1:8" ht="15" customHeight="1" x14ac:dyDescent="0.25">
      <c r="A24" s="52" t="s">
        <v>288</v>
      </c>
      <c r="B24" s="53" t="s">
        <v>63</v>
      </c>
      <c r="C24" s="52" t="s">
        <v>62</v>
      </c>
      <c r="D24" s="52" t="s">
        <v>50</v>
      </c>
      <c r="E24" s="54">
        <v>1300</v>
      </c>
      <c r="F24" s="52"/>
      <c r="G24" s="52"/>
      <c r="H24" s="52"/>
    </row>
    <row r="25" spans="1:8" ht="15" customHeight="1" x14ac:dyDescent="0.25">
      <c r="A25" s="49" t="s">
        <v>288</v>
      </c>
      <c r="B25" s="50" t="s">
        <v>64</v>
      </c>
      <c r="C25" s="49" t="s">
        <v>62</v>
      </c>
      <c r="D25" s="49" t="s">
        <v>50</v>
      </c>
      <c r="E25" s="51">
        <v>1500</v>
      </c>
      <c r="F25" s="49"/>
      <c r="G25" s="49"/>
      <c r="H25" s="49"/>
    </row>
    <row r="26" spans="1:8" ht="15" customHeight="1" x14ac:dyDescent="0.25">
      <c r="A26" s="52"/>
      <c r="B26" s="53"/>
      <c r="C26" s="52"/>
      <c r="D26" s="52"/>
      <c r="E26" s="54"/>
      <c r="F26" s="52"/>
      <c r="G26" s="52"/>
      <c r="H26" s="52"/>
    </row>
    <row r="27" spans="1:8" ht="15" customHeight="1" x14ac:dyDescent="0.25">
      <c r="A27" s="55"/>
      <c r="B27" s="55"/>
      <c r="C27" s="55"/>
      <c r="D27" s="55"/>
      <c r="E27" s="56"/>
      <c r="F27" s="55"/>
      <c r="G27" s="55"/>
      <c r="H27" s="55"/>
    </row>
    <row r="28" spans="1:8" ht="15" customHeight="1" x14ac:dyDescent="0.25">
      <c r="A28" s="55"/>
      <c r="B28" s="55"/>
      <c r="C28" s="55"/>
      <c r="D28" s="55"/>
      <c r="E28" s="56"/>
      <c r="F28" s="55"/>
      <c r="G28" s="55"/>
      <c r="H28" s="55"/>
    </row>
    <row r="29" spans="1:8" ht="15" customHeight="1" x14ac:dyDescent="0.25">
      <c r="A29" s="157" t="s">
        <v>66</v>
      </c>
      <c r="B29" s="152"/>
      <c r="C29" s="152"/>
      <c r="D29" s="153"/>
      <c r="E29" s="46">
        <f>SUM(E23:E28)</f>
        <v>4275</v>
      </c>
      <c r="F29" s="47"/>
      <c r="G29" s="47"/>
      <c r="H29" s="47"/>
    </row>
    <row r="30" spans="1:8" ht="15.75" customHeight="1" x14ac:dyDescent="0.25">
      <c r="A30" s="17"/>
      <c r="B30" s="17"/>
      <c r="C30" s="17"/>
      <c r="D30" s="17"/>
      <c r="E30" s="17"/>
      <c r="F30" s="17"/>
      <c r="G30" s="17"/>
      <c r="H30" s="17"/>
    </row>
    <row r="31" spans="1:8" ht="19.5" customHeight="1" x14ac:dyDescent="0.25">
      <c r="A31" s="159" t="s">
        <v>67</v>
      </c>
      <c r="B31" s="146"/>
      <c r="C31" s="146"/>
      <c r="D31" s="146"/>
      <c r="E31" s="146"/>
      <c r="F31" s="146"/>
      <c r="G31" s="146"/>
      <c r="H31" s="147"/>
    </row>
    <row r="32" spans="1:8" ht="15" customHeight="1" x14ac:dyDescent="0.25">
      <c r="A32" s="151" t="s">
        <v>68</v>
      </c>
      <c r="B32" s="152"/>
      <c r="C32" s="152"/>
      <c r="D32" s="153"/>
      <c r="E32" s="57">
        <f>E29-E19</f>
        <v>1195</v>
      </c>
      <c r="F32" s="58"/>
      <c r="G32" s="58"/>
      <c r="H32" s="58"/>
    </row>
    <row r="33" spans="1:8" ht="15" customHeight="1" x14ac:dyDescent="0.25">
      <c r="A33" s="151" t="s">
        <v>76</v>
      </c>
      <c r="B33" s="152"/>
      <c r="C33" s="152"/>
      <c r="D33" s="153"/>
      <c r="E33" s="57">
        <f>0.7*(E29-E19)</f>
        <v>836.5</v>
      </c>
      <c r="F33" s="58"/>
      <c r="G33" s="58"/>
      <c r="H33" s="58"/>
    </row>
    <row r="34" spans="1:8" ht="15" customHeight="1" x14ac:dyDescent="0.25">
      <c r="A34" s="151" t="s">
        <v>70</v>
      </c>
      <c r="B34" s="152"/>
      <c r="C34" s="152"/>
      <c r="D34" s="153"/>
      <c r="E34" s="57">
        <f>E19/6</f>
        <v>513.33333333333337</v>
      </c>
      <c r="F34" s="58"/>
      <c r="G34" s="58"/>
      <c r="H34" s="58"/>
    </row>
    <row r="35" spans="1:8" ht="15.75" customHeight="1" x14ac:dyDescent="0.25">
      <c r="A35" s="17"/>
      <c r="B35" s="17"/>
      <c r="C35" s="17"/>
      <c r="D35" s="17"/>
      <c r="E35" s="17"/>
      <c r="F35" s="17"/>
      <c r="G35" s="17"/>
      <c r="H35" s="17"/>
    </row>
    <row r="36" spans="1:8" ht="15.75" customHeight="1" x14ac:dyDescent="0.25">
      <c r="A36" s="17"/>
      <c r="B36" s="17"/>
      <c r="C36" s="17"/>
      <c r="D36" s="17"/>
      <c r="E36" s="17"/>
      <c r="F36" s="17"/>
      <c r="G36" s="17"/>
      <c r="H36" s="17"/>
    </row>
    <row r="37" spans="1:8" ht="15.75" customHeight="1" x14ac:dyDescent="0.25">
      <c r="A37" s="17"/>
      <c r="B37" s="17"/>
      <c r="C37" s="17"/>
      <c r="D37" s="17"/>
      <c r="E37" s="17"/>
      <c r="F37" s="17"/>
      <c r="G37" s="17"/>
      <c r="H37" s="17"/>
    </row>
    <row r="38" spans="1:8" ht="15.75" customHeight="1" x14ac:dyDescent="0.25">
      <c r="A38" s="17"/>
      <c r="B38" s="17"/>
      <c r="C38" s="17"/>
      <c r="D38" s="17"/>
      <c r="E38" s="17"/>
      <c r="F38" s="17"/>
      <c r="G38" s="17"/>
      <c r="H38" s="17"/>
    </row>
    <row r="39" spans="1:8" ht="15.75" customHeight="1" x14ac:dyDescent="0.25">
      <c r="A39" s="17"/>
      <c r="B39" s="17"/>
      <c r="C39" s="17"/>
      <c r="D39" s="17"/>
      <c r="E39" s="17"/>
      <c r="F39" s="17"/>
      <c r="G39" s="17"/>
      <c r="H39" s="17"/>
    </row>
    <row r="40" spans="1:8" ht="15.75" customHeight="1" x14ac:dyDescent="0.25">
      <c r="A40" s="17"/>
      <c r="B40" s="17"/>
      <c r="C40" s="17"/>
      <c r="D40" s="17"/>
      <c r="E40" s="17"/>
      <c r="F40" s="17"/>
      <c r="G40" s="17"/>
      <c r="H40" s="17"/>
    </row>
    <row r="41" spans="1:8" ht="15.75" customHeight="1" x14ac:dyDescent="0.25">
      <c r="A41" s="17"/>
      <c r="B41" s="17"/>
      <c r="C41" s="17"/>
      <c r="D41" s="17"/>
      <c r="E41" s="17"/>
      <c r="F41" s="17"/>
      <c r="G41" s="17"/>
      <c r="H41" s="17"/>
    </row>
    <row r="42" spans="1:8" ht="15.75" customHeight="1" x14ac:dyDescent="0.25">
      <c r="A42" s="17"/>
      <c r="B42" s="17"/>
      <c r="C42" s="17"/>
      <c r="D42" s="17"/>
      <c r="E42" s="17"/>
      <c r="F42" s="17"/>
      <c r="G42" s="17"/>
      <c r="H42" s="17"/>
    </row>
    <row r="43" spans="1:8" ht="15.75" customHeight="1" x14ac:dyDescent="0.25">
      <c r="A43" s="17"/>
      <c r="B43" s="17"/>
      <c r="C43" s="17"/>
      <c r="D43" s="17"/>
      <c r="E43" s="17"/>
      <c r="F43" s="17"/>
      <c r="G43" s="17"/>
      <c r="H43" s="17"/>
    </row>
    <row r="44" spans="1:8" ht="15.75" customHeight="1" x14ac:dyDescent="0.25">
      <c r="A44" s="17"/>
      <c r="B44" s="17"/>
      <c r="C44" s="17"/>
      <c r="D44" s="17"/>
      <c r="E44" s="17"/>
      <c r="F44" s="17"/>
      <c r="G44" s="17"/>
      <c r="H44" s="17"/>
    </row>
    <row r="45" spans="1:8" ht="15.75" customHeight="1" x14ac:dyDescent="0.25">
      <c r="A45" s="17"/>
      <c r="B45" s="17"/>
      <c r="C45" s="17"/>
      <c r="D45" s="17"/>
      <c r="E45" s="17"/>
      <c r="F45" s="17"/>
      <c r="G45" s="17"/>
      <c r="H45" s="17"/>
    </row>
    <row r="46" spans="1:8" ht="15.75" customHeight="1" x14ac:dyDescent="0.25">
      <c r="A46" s="17"/>
      <c r="B46" s="17"/>
      <c r="C46" s="17"/>
      <c r="D46" s="17"/>
      <c r="E46" s="17"/>
      <c r="F46" s="17"/>
      <c r="G46" s="17"/>
      <c r="H46" s="17"/>
    </row>
    <row r="47" spans="1:8" ht="15.75" customHeight="1" x14ac:dyDescent="0.25">
      <c r="A47" s="17"/>
      <c r="B47" s="17"/>
      <c r="C47" s="17"/>
      <c r="D47" s="17"/>
      <c r="E47" s="17"/>
      <c r="F47" s="17"/>
      <c r="G47" s="17"/>
      <c r="H47" s="17"/>
    </row>
    <row r="48" spans="1:8" ht="15.75" customHeight="1" x14ac:dyDescent="0.25">
      <c r="A48" s="17"/>
      <c r="B48" s="17"/>
      <c r="C48" s="17"/>
      <c r="D48" s="17"/>
      <c r="E48" s="17"/>
      <c r="F48" s="17"/>
      <c r="G48" s="17"/>
      <c r="H48" s="17"/>
    </row>
    <row r="49" spans="1:8" ht="15.75" customHeight="1" x14ac:dyDescent="0.25">
      <c r="A49" s="17"/>
      <c r="B49" s="17"/>
      <c r="C49" s="17"/>
      <c r="D49" s="17"/>
      <c r="E49" s="17"/>
      <c r="F49" s="17"/>
      <c r="G49" s="17"/>
      <c r="H49" s="17"/>
    </row>
    <row r="50" spans="1:8" ht="15.75" customHeight="1" x14ac:dyDescent="0.25">
      <c r="A50" s="17"/>
      <c r="B50" s="17"/>
      <c r="C50" s="17"/>
      <c r="D50" s="17"/>
      <c r="E50" s="17"/>
      <c r="F50" s="17"/>
      <c r="G50" s="17"/>
      <c r="H50" s="17"/>
    </row>
    <row r="51" spans="1:8" ht="15.75" customHeight="1" x14ac:dyDescent="0.25">
      <c r="A51" s="17"/>
      <c r="B51" s="17"/>
      <c r="C51" s="17"/>
      <c r="D51" s="17"/>
      <c r="E51" s="17"/>
      <c r="F51" s="17"/>
      <c r="G51" s="17"/>
      <c r="H51" s="17"/>
    </row>
    <row r="52" spans="1:8" ht="15.75" customHeight="1" x14ac:dyDescent="0.25">
      <c r="A52" s="17"/>
      <c r="B52" s="17"/>
      <c r="C52" s="17"/>
      <c r="D52" s="17"/>
      <c r="E52" s="17"/>
      <c r="F52" s="17"/>
      <c r="G52" s="17"/>
      <c r="H52" s="17"/>
    </row>
    <row r="53" spans="1:8" ht="15.75" customHeight="1" x14ac:dyDescent="0.25">
      <c r="A53" s="17"/>
      <c r="B53" s="17"/>
      <c r="C53" s="17"/>
      <c r="D53" s="17"/>
      <c r="E53" s="17"/>
      <c r="F53" s="17"/>
      <c r="G53" s="17"/>
      <c r="H53" s="17"/>
    </row>
    <row r="54" spans="1:8" ht="15.75" customHeight="1" x14ac:dyDescent="0.25">
      <c r="A54" s="17"/>
      <c r="B54" s="17"/>
      <c r="C54" s="17"/>
      <c r="D54" s="17"/>
      <c r="E54" s="17"/>
      <c r="F54" s="17"/>
      <c r="G54" s="17"/>
      <c r="H54" s="17"/>
    </row>
    <row r="55" spans="1:8" ht="15.75" customHeight="1" x14ac:dyDescent="0.25">
      <c r="A55" s="17"/>
      <c r="B55" s="17"/>
      <c r="C55" s="17"/>
      <c r="D55" s="17"/>
      <c r="E55" s="17"/>
      <c r="F55" s="17"/>
      <c r="G55" s="17"/>
      <c r="H55" s="17"/>
    </row>
    <row r="56" spans="1:8" ht="15.75" customHeight="1" x14ac:dyDescent="0.25">
      <c r="A56" s="17"/>
      <c r="B56" s="17"/>
      <c r="C56" s="17"/>
      <c r="D56" s="17"/>
      <c r="E56" s="17"/>
      <c r="F56" s="17"/>
      <c r="G56" s="17"/>
      <c r="H56" s="17"/>
    </row>
    <row r="57" spans="1:8" ht="15.75" customHeight="1" x14ac:dyDescent="0.25">
      <c r="A57" s="17"/>
      <c r="B57" s="17"/>
      <c r="C57" s="17"/>
      <c r="D57" s="17"/>
      <c r="E57" s="17"/>
      <c r="F57" s="17"/>
      <c r="G57" s="17"/>
      <c r="H57" s="17"/>
    </row>
    <row r="58" spans="1:8" ht="15.75" customHeight="1" x14ac:dyDescent="0.25">
      <c r="A58" s="17"/>
      <c r="B58" s="17"/>
      <c r="C58" s="17"/>
      <c r="D58" s="17"/>
      <c r="E58" s="17"/>
      <c r="F58" s="17"/>
      <c r="G58" s="17"/>
      <c r="H58" s="17"/>
    </row>
    <row r="59" spans="1:8" ht="15.75" customHeight="1" x14ac:dyDescent="0.25">
      <c r="A59" s="17"/>
      <c r="B59" s="17"/>
      <c r="C59" s="17"/>
      <c r="D59" s="17"/>
      <c r="E59" s="17"/>
      <c r="F59" s="17"/>
      <c r="G59" s="17"/>
      <c r="H59" s="17"/>
    </row>
    <row r="60" spans="1:8" ht="15.75" customHeight="1" x14ac:dyDescent="0.25">
      <c r="A60" s="17"/>
      <c r="B60" s="17"/>
      <c r="C60" s="17"/>
      <c r="D60" s="17"/>
      <c r="E60" s="17"/>
      <c r="F60" s="17"/>
      <c r="G60" s="17"/>
      <c r="H60" s="17"/>
    </row>
    <row r="61" spans="1:8" ht="15.75" customHeight="1" x14ac:dyDescent="0.25">
      <c r="A61" s="17"/>
      <c r="B61" s="17"/>
      <c r="C61" s="17"/>
      <c r="D61" s="17"/>
      <c r="E61" s="17"/>
      <c r="F61" s="17"/>
      <c r="G61" s="17"/>
      <c r="H61" s="17"/>
    </row>
    <row r="62" spans="1:8" ht="15.75" customHeight="1" x14ac:dyDescent="0.25">
      <c r="A62" s="17"/>
      <c r="B62" s="17"/>
      <c r="C62" s="17"/>
      <c r="D62" s="17"/>
      <c r="E62" s="17"/>
      <c r="F62" s="17"/>
      <c r="G62" s="17"/>
      <c r="H62" s="17"/>
    </row>
    <row r="63" spans="1:8" ht="15.75" customHeight="1" x14ac:dyDescent="0.25">
      <c r="A63" s="17"/>
      <c r="B63" s="17"/>
      <c r="C63" s="17"/>
      <c r="D63" s="17"/>
      <c r="E63" s="17"/>
      <c r="F63" s="17"/>
      <c r="G63" s="17"/>
      <c r="H63" s="17"/>
    </row>
    <row r="64" spans="1:8" ht="15.75" customHeight="1" x14ac:dyDescent="0.25">
      <c r="A64" s="17"/>
      <c r="B64" s="17"/>
      <c r="C64" s="17"/>
      <c r="D64" s="17"/>
      <c r="E64" s="17"/>
      <c r="F64" s="17"/>
      <c r="G64" s="17"/>
      <c r="H64" s="17"/>
    </row>
    <row r="65" spans="1:8" ht="15.75" customHeight="1" x14ac:dyDescent="0.25">
      <c r="A65" s="17"/>
      <c r="B65" s="17"/>
      <c r="C65" s="17"/>
      <c r="D65" s="17"/>
      <c r="E65" s="17"/>
      <c r="F65" s="17"/>
      <c r="G65" s="17"/>
      <c r="H65" s="17"/>
    </row>
    <row r="66" spans="1:8" ht="15.75" customHeight="1" x14ac:dyDescent="0.25">
      <c r="A66" s="17"/>
      <c r="B66" s="17"/>
      <c r="C66" s="17"/>
      <c r="D66" s="17"/>
      <c r="E66" s="17"/>
      <c r="F66" s="17"/>
      <c r="G66" s="17"/>
      <c r="H66" s="17"/>
    </row>
    <row r="67" spans="1:8" ht="15.75" customHeight="1" x14ac:dyDescent="0.25">
      <c r="A67" s="17"/>
      <c r="B67" s="17"/>
      <c r="C67" s="17"/>
      <c r="D67" s="17"/>
      <c r="E67" s="17"/>
      <c r="F67" s="17"/>
      <c r="G67" s="17"/>
      <c r="H67" s="17"/>
    </row>
    <row r="68" spans="1:8" ht="15.75" customHeight="1" x14ac:dyDescent="0.25">
      <c r="A68" s="17"/>
      <c r="B68" s="17"/>
      <c r="C68" s="17"/>
      <c r="D68" s="17"/>
      <c r="E68" s="17"/>
      <c r="F68" s="17"/>
      <c r="G68" s="17"/>
      <c r="H68" s="17"/>
    </row>
    <row r="69" spans="1:8" ht="15.75" customHeight="1" x14ac:dyDescent="0.25">
      <c r="A69" s="17"/>
      <c r="B69" s="17"/>
      <c r="C69" s="17"/>
      <c r="D69" s="17"/>
      <c r="E69" s="17"/>
      <c r="F69" s="17"/>
      <c r="G69" s="17"/>
      <c r="H69" s="17"/>
    </row>
    <row r="70" spans="1:8" ht="15.75" customHeight="1" x14ac:dyDescent="0.25">
      <c r="A70" s="17"/>
      <c r="B70" s="17"/>
      <c r="C70" s="17"/>
      <c r="D70" s="17"/>
      <c r="E70" s="17"/>
      <c r="F70" s="17"/>
      <c r="G70" s="17"/>
      <c r="H70" s="17"/>
    </row>
    <row r="71" spans="1:8" ht="15.75" customHeight="1" x14ac:dyDescent="0.25">
      <c r="A71" s="17"/>
      <c r="B71" s="17"/>
      <c r="C71" s="17"/>
      <c r="D71" s="17"/>
      <c r="E71" s="17"/>
      <c r="F71" s="17"/>
      <c r="G71" s="17"/>
      <c r="H71" s="17"/>
    </row>
    <row r="72" spans="1:8" ht="15.75" customHeight="1" x14ac:dyDescent="0.25">
      <c r="A72" s="17"/>
      <c r="B72" s="17"/>
      <c r="C72" s="17"/>
      <c r="D72" s="17"/>
      <c r="E72" s="17"/>
      <c r="F72" s="17"/>
      <c r="G72" s="17"/>
      <c r="H72" s="17"/>
    </row>
    <row r="73" spans="1:8" ht="15.75" customHeight="1" x14ac:dyDescent="0.25">
      <c r="A73" s="17"/>
      <c r="B73" s="17"/>
      <c r="C73" s="17"/>
      <c r="D73" s="17"/>
      <c r="E73" s="17"/>
      <c r="F73" s="17"/>
      <c r="G73" s="17"/>
      <c r="H73" s="17"/>
    </row>
    <row r="74" spans="1:8" ht="15.75" customHeight="1" x14ac:dyDescent="0.25">
      <c r="A74" s="17"/>
      <c r="B74" s="17"/>
      <c r="C74" s="17"/>
      <c r="D74" s="17"/>
      <c r="E74" s="17"/>
      <c r="F74" s="17"/>
      <c r="G74" s="17"/>
      <c r="H74" s="17"/>
    </row>
    <row r="75" spans="1:8" ht="15.75" customHeight="1" x14ac:dyDescent="0.25">
      <c r="A75" s="17"/>
      <c r="B75" s="17"/>
      <c r="C75" s="17"/>
      <c r="D75" s="17"/>
      <c r="E75" s="17"/>
      <c r="F75" s="17"/>
      <c r="G75" s="17"/>
      <c r="H75" s="17"/>
    </row>
    <row r="76" spans="1:8" ht="15.75" customHeight="1" x14ac:dyDescent="0.25">
      <c r="A76" s="17"/>
      <c r="B76" s="17"/>
      <c r="C76" s="17"/>
      <c r="D76" s="17"/>
      <c r="E76" s="17"/>
      <c r="F76" s="17"/>
      <c r="G76" s="17"/>
      <c r="H76" s="17"/>
    </row>
    <row r="77" spans="1:8" ht="15.75" customHeight="1" x14ac:dyDescent="0.25">
      <c r="A77" s="17"/>
      <c r="B77" s="17"/>
      <c r="C77" s="17"/>
      <c r="D77" s="17"/>
      <c r="E77" s="17"/>
      <c r="F77" s="17"/>
      <c r="G77" s="17"/>
      <c r="H77" s="17"/>
    </row>
    <row r="78" spans="1:8" ht="15.75" customHeight="1" x14ac:dyDescent="0.25">
      <c r="A78" s="17"/>
      <c r="B78" s="17"/>
      <c r="C78" s="17"/>
      <c r="D78" s="17"/>
      <c r="E78" s="17"/>
      <c r="F78" s="17"/>
      <c r="G78" s="17"/>
      <c r="H78" s="17"/>
    </row>
    <row r="79" spans="1:8" ht="15.75" customHeight="1" x14ac:dyDescent="0.25">
      <c r="A79" s="17"/>
      <c r="B79" s="17"/>
      <c r="C79" s="17"/>
      <c r="D79" s="17"/>
      <c r="E79" s="17"/>
      <c r="F79" s="17"/>
      <c r="G79" s="17"/>
      <c r="H79" s="17"/>
    </row>
    <row r="80" spans="1:8" ht="15.75" customHeight="1" x14ac:dyDescent="0.25">
      <c r="A80" s="17"/>
      <c r="B80" s="17"/>
      <c r="C80" s="17"/>
      <c r="D80" s="17"/>
      <c r="E80" s="17"/>
      <c r="F80" s="17"/>
      <c r="G80" s="17"/>
      <c r="H80" s="17"/>
    </row>
    <row r="81" spans="1:8" ht="15.75" customHeight="1" x14ac:dyDescent="0.25">
      <c r="A81" s="17"/>
      <c r="B81" s="17"/>
      <c r="C81" s="17"/>
      <c r="D81" s="17"/>
      <c r="E81" s="17"/>
      <c r="F81" s="17"/>
      <c r="G81" s="17"/>
      <c r="H81" s="17"/>
    </row>
    <row r="82" spans="1:8" ht="15.75" customHeight="1" x14ac:dyDescent="0.25">
      <c r="A82" s="17"/>
      <c r="B82" s="17"/>
      <c r="C82" s="17"/>
      <c r="D82" s="17"/>
      <c r="E82" s="17"/>
      <c r="F82" s="17"/>
      <c r="G82" s="17"/>
      <c r="H82" s="17"/>
    </row>
    <row r="83" spans="1:8" ht="15.75" customHeight="1" x14ac:dyDescent="0.25">
      <c r="A83" s="17"/>
      <c r="B83" s="17"/>
      <c r="C83" s="17"/>
      <c r="D83" s="17"/>
      <c r="E83" s="17"/>
      <c r="F83" s="17"/>
      <c r="G83" s="17"/>
      <c r="H83" s="17"/>
    </row>
    <row r="84" spans="1:8" ht="15.75" customHeight="1" x14ac:dyDescent="0.25">
      <c r="A84" s="17"/>
      <c r="B84" s="17"/>
      <c r="C84" s="17"/>
      <c r="D84" s="17"/>
      <c r="E84" s="17"/>
      <c r="F84" s="17"/>
      <c r="G84" s="17"/>
      <c r="H84" s="17"/>
    </row>
    <row r="85" spans="1:8" ht="15.75" customHeight="1" x14ac:dyDescent="0.25">
      <c r="A85" s="17"/>
      <c r="B85" s="17"/>
      <c r="C85" s="17"/>
      <c r="D85" s="17"/>
      <c r="E85" s="17"/>
      <c r="F85" s="17"/>
      <c r="G85" s="17"/>
      <c r="H85" s="17"/>
    </row>
    <row r="86" spans="1:8" ht="15.75" customHeight="1" x14ac:dyDescent="0.25">
      <c r="A86" s="17"/>
      <c r="B86" s="17"/>
      <c r="C86" s="17"/>
      <c r="D86" s="17"/>
      <c r="E86" s="17"/>
      <c r="F86" s="17"/>
      <c r="G86" s="17"/>
      <c r="H86" s="17"/>
    </row>
    <row r="87" spans="1:8" ht="15.75" customHeight="1" x14ac:dyDescent="0.25">
      <c r="A87" s="17"/>
      <c r="B87" s="17"/>
      <c r="C87" s="17"/>
      <c r="D87" s="17"/>
      <c r="E87" s="17"/>
      <c r="F87" s="17"/>
      <c r="G87" s="17"/>
      <c r="H87" s="17"/>
    </row>
    <row r="88" spans="1:8" ht="15.75" customHeight="1" x14ac:dyDescent="0.25">
      <c r="A88" s="17"/>
      <c r="B88" s="17"/>
      <c r="C88" s="17"/>
      <c r="D88" s="17"/>
      <c r="E88" s="17"/>
      <c r="F88" s="17"/>
      <c r="G88" s="17"/>
      <c r="H88" s="17"/>
    </row>
    <row r="89" spans="1:8" ht="15.75" customHeight="1" x14ac:dyDescent="0.25">
      <c r="A89" s="17"/>
      <c r="B89" s="17"/>
      <c r="C89" s="17"/>
      <c r="D89" s="17"/>
      <c r="E89" s="17"/>
      <c r="F89" s="17"/>
      <c r="G89" s="17"/>
      <c r="H89" s="17"/>
    </row>
    <row r="90" spans="1:8" ht="15.75" customHeight="1" x14ac:dyDescent="0.25">
      <c r="A90" s="17"/>
      <c r="B90" s="17"/>
      <c r="C90" s="17"/>
      <c r="D90" s="17"/>
      <c r="E90" s="17"/>
      <c r="F90" s="17"/>
      <c r="G90" s="17"/>
      <c r="H90" s="17"/>
    </row>
    <row r="91" spans="1:8" ht="15.75" customHeight="1" x14ac:dyDescent="0.25">
      <c r="A91" s="17"/>
      <c r="B91" s="17"/>
      <c r="C91" s="17"/>
      <c r="D91" s="17"/>
      <c r="E91" s="17"/>
      <c r="F91" s="17"/>
      <c r="G91" s="17"/>
      <c r="H91" s="17"/>
    </row>
    <row r="92" spans="1:8" ht="15.75" customHeight="1" x14ac:dyDescent="0.25">
      <c r="A92" s="17"/>
      <c r="B92" s="17"/>
      <c r="C92" s="17"/>
      <c r="D92" s="17"/>
      <c r="E92" s="17"/>
      <c r="F92" s="17"/>
      <c r="G92" s="17"/>
      <c r="H92" s="17"/>
    </row>
    <row r="93" spans="1:8" ht="15.75" customHeight="1" x14ac:dyDescent="0.25">
      <c r="A93" s="17"/>
      <c r="B93" s="17"/>
      <c r="C93" s="17"/>
      <c r="D93" s="17"/>
      <c r="E93" s="17"/>
      <c r="F93" s="17"/>
      <c r="G93" s="17"/>
      <c r="H93" s="17"/>
    </row>
    <row r="94" spans="1:8" ht="15.75" customHeight="1" x14ac:dyDescent="0.25">
      <c r="A94" s="17"/>
      <c r="B94" s="17"/>
      <c r="C94" s="17"/>
      <c r="D94" s="17"/>
      <c r="E94" s="17"/>
      <c r="F94" s="17"/>
      <c r="G94" s="17"/>
      <c r="H94" s="17"/>
    </row>
    <row r="95" spans="1:8" ht="15.75" customHeight="1" x14ac:dyDescent="0.25">
      <c r="A95" s="17"/>
      <c r="B95" s="17"/>
      <c r="C95" s="17"/>
      <c r="D95" s="17"/>
      <c r="E95" s="17"/>
      <c r="F95" s="17"/>
      <c r="G95" s="17"/>
      <c r="H95" s="17"/>
    </row>
    <row r="96" spans="1:8" ht="15.75" customHeight="1" x14ac:dyDescent="0.25">
      <c r="A96" s="17"/>
      <c r="B96" s="17"/>
      <c r="C96" s="17"/>
      <c r="D96" s="17"/>
      <c r="E96" s="17"/>
      <c r="F96" s="17"/>
      <c r="G96" s="17"/>
      <c r="H96" s="17"/>
    </row>
    <row r="97" spans="1:8" ht="15.75" customHeight="1" x14ac:dyDescent="0.25">
      <c r="A97" s="17"/>
      <c r="B97" s="17"/>
      <c r="C97" s="17"/>
      <c r="D97" s="17"/>
      <c r="E97" s="17"/>
      <c r="F97" s="17"/>
      <c r="G97" s="17"/>
      <c r="H97" s="17"/>
    </row>
    <row r="98" spans="1:8" ht="15.75" customHeight="1" x14ac:dyDescent="0.25">
      <c r="A98" s="17"/>
      <c r="B98" s="17"/>
      <c r="C98" s="17"/>
      <c r="D98" s="17"/>
      <c r="E98" s="17"/>
      <c r="F98" s="17"/>
      <c r="G98" s="17"/>
      <c r="H98" s="17"/>
    </row>
    <row r="99" spans="1:8" ht="15.75" customHeight="1" x14ac:dyDescent="0.25">
      <c r="A99" s="17"/>
      <c r="B99" s="17"/>
      <c r="C99" s="17"/>
      <c r="D99" s="17"/>
      <c r="E99" s="17"/>
      <c r="F99" s="17"/>
      <c r="G99" s="17"/>
      <c r="H99" s="17"/>
    </row>
    <row r="100" spans="1:8" ht="15.75" customHeight="1" x14ac:dyDescent="0.25">
      <c r="A100" s="17"/>
      <c r="B100" s="17"/>
      <c r="C100" s="17"/>
      <c r="D100" s="17"/>
      <c r="E100" s="17"/>
      <c r="F100" s="17"/>
      <c r="G100" s="17"/>
      <c r="H100" s="17"/>
    </row>
  </sheetData>
  <mergeCells count="19">
    <mergeCell ref="A1:H1"/>
    <mergeCell ref="A2:B2"/>
    <mergeCell ref="C2:D2"/>
    <mergeCell ref="E2:F2"/>
    <mergeCell ref="G2:H2"/>
    <mergeCell ref="A5:H5"/>
    <mergeCell ref="A32:D32"/>
    <mergeCell ref="A33:D33"/>
    <mergeCell ref="A34:D34"/>
    <mergeCell ref="C3:D3"/>
    <mergeCell ref="A17:D17"/>
    <mergeCell ref="A18:D18"/>
    <mergeCell ref="A19:D19"/>
    <mergeCell ref="A21:H21"/>
    <mergeCell ref="A29:D29"/>
    <mergeCell ref="A31:H31"/>
    <mergeCell ref="E3:F3"/>
    <mergeCell ref="G3:H3"/>
    <mergeCell ref="A3:B3"/>
  </mergeCells>
  <pageMargins left="0.75" right="0.75" top="1" bottom="1" header="0" footer="0"/>
  <pageSetup paperSize="9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2E86AB"/>
  </sheetPr>
  <dimension ref="A1:H100"/>
  <sheetViews>
    <sheetView workbookViewId="0">
      <selection sqref="A1:H1"/>
    </sheetView>
  </sheetViews>
  <sheetFormatPr defaultColWidth="14.42578125" defaultRowHeight="15" customHeight="1" x14ac:dyDescent="0.25"/>
  <cols>
    <col min="1" max="1" width="10" customWidth="1"/>
    <col min="2" max="2" width="26" customWidth="1"/>
    <col min="3" max="7" width="16" customWidth="1"/>
    <col min="8" max="8" width="20" customWidth="1"/>
  </cols>
  <sheetData>
    <row r="1" spans="1:8" ht="27.75" customHeight="1" x14ac:dyDescent="0.25">
      <c r="A1" s="163" t="s">
        <v>291</v>
      </c>
      <c r="B1" s="146"/>
      <c r="C1" s="146"/>
      <c r="D1" s="146"/>
      <c r="E1" s="146"/>
      <c r="F1" s="146"/>
      <c r="G1" s="146"/>
      <c r="H1" s="147"/>
    </row>
    <row r="2" spans="1:8" ht="18" customHeight="1" x14ac:dyDescent="0.25">
      <c r="A2" s="164" t="s">
        <v>34</v>
      </c>
      <c r="B2" s="147"/>
      <c r="C2" s="164" t="s">
        <v>35</v>
      </c>
      <c r="D2" s="147"/>
      <c r="E2" s="164" t="s">
        <v>36</v>
      </c>
      <c r="F2" s="147"/>
      <c r="G2" s="164" t="s">
        <v>37</v>
      </c>
      <c r="H2" s="147"/>
    </row>
    <row r="3" spans="1:8" ht="21.75" customHeight="1" x14ac:dyDescent="0.25">
      <c r="A3" s="162">
        <f>E29</f>
        <v>4275</v>
      </c>
      <c r="B3" s="147"/>
      <c r="C3" s="154">
        <f>E19</f>
        <v>3080</v>
      </c>
      <c r="D3" s="147"/>
      <c r="E3" s="160">
        <f>E29-E19</f>
        <v>1195</v>
      </c>
      <c r="F3" s="147"/>
      <c r="G3" s="161">
        <f>IF(E29&gt;0,(E29-E19)/E29,0)</f>
        <v>0.27953216374269008</v>
      </c>
      <c r="H3" s="147"/>
    </row>
    <row r="4" spans="1:8" ht="14.25" customHeight="1" x14ac:dyDescent="0.25">
      <c r="A4" s="17"/>
      <c r="B4" s="17"/>
      <c r="C4" s="17"/>
      <c r="D4" s="17"/>
      <c r="E4" s="17"/>
      <c r="F4" s="17"/>
      <c r="G4" s="17"/>
      <c r="H4" s="17"/>
    </row>
    <row r="5" spans="1:8" ht="19.5" customHeight="1" x14ac:dyDescent="0.25">
      <c r="A5" s="150" t="s">
        <v>292</v>
      </c>
      <c r="B5" s="146"/>
      <c r="C5" s="146"/>
      <c r="D5" s="146"/>
      <c r="E5" s="146"/>
      <c r="F5" s="146"/>
      <c r="G5" s="146"/>
      <c r="H5" s="147"/>
    </row>
    <row r="6" spans="1:8" ht="15" customHeight="1" x14ac:dyDescent="0.25">
      <c r="A6" s="36" t="s">
        <v>22</v>
      </c>
      <c r="B6" s="36" t="s">
        <v>39</v>
      </c>
      <c r="C6" s="36" t="s">
        <v>40</v>
      </c>
      <c r="D6" s="36" t="s">
        <v>41</v>
      </c>
      <c r="E6" s="36" t="s">
        <v>42</v>
      </c>
      <c r="F6" s="36" t="s">
        <v>43</v>
      </c>
      <c r="G6" s="36" t="s">
        <v>44</v>
      </c>
      <c r="H6" s="36"/>
    </row>
    <row r="7" spans="1:8" ht="15" customHeight="1" x14ac:dyDescent="0.25">
      <c r="A7" s="37" t="s">
        <v>293</v>
      </c>
      <c r="B7" s="38" t="s">
        <v>46</v>
      </c>
      <c r="C7" s="37" t="s">
        <v>167</v>
      </c>
      <c r="D7" s="37" t="s">
        <v>48</v>
      </c>
      <c r="E7" s="39">
        <v>86</v>
      </c>
      <c r="F7" s="37"/>
      <c r="G7" s="37"/>
      <c r="H7" s="37"/>
    </row>
    <row r="8" spans="1:8" ht="15" customHeight="1" x14ac:dyDescent="0.25">
      <c r="A8" s="40" t="s">
        <v>293</v>
      </c>
      <c r="B8" s="41" t="s">
        <v>49</v>
      </c>
      <c r="C8" s="40"/>
      <c r="D8" s="40" t="s">
        <v>50</v>
      </c>
      <c r="E8" s="42">
        <v>216</v>
      </c>
      <c r="F8" s="40"/>
      <c r="G8" s="40"/>
      <c r="H8" s="40"/>
    </row>
    <row r="9" spans="1:8" ht="15" customHeight="1" x14ac:dyDescent="0.25">
      <c r="A9" s="37" t="s">
        <v>293</v>
      </c>
      <c r="B9" s="38" t="s">
        <v>51</v>
      </c>
      <c r="C9" s="37"/>
      <c r="D9" s="37" t="s">
        <v>50</v>
      </c>
      <c r="E9" s="39">
        <v>230</v>
      </c>
      <c r="F9" s="37"/>
      <c r="G9" s="37"/>
      <c r="H9" s="37"/>
    </row>
    <row r="10" spans="1:8" ht="15" customHeight="1" x14ac:dyDescent="0.25">
      <c r="A10" s="40" t="s">
        <v>293</v>
      </c>
      <c r="B10" s="41" t="s">
        <v>52</v>
      </c>
      <c r="C10" s="40"/>
      <c r="D10" s="40" t="s">
        <v>50</v>
      </c>
      <c r="E10" s="42">
        <v>95</v>
      </c>
      <c r="F10" s="40"/>
      <c r="G10" s="40"/>
      <c r="H10" s="40"/>
    </row>
    <row r="11" spans="1:8" ht="15" customHeight="1" x14ac:dyDescent="0.25">
      <c r="A11" s="37" t="s">
        <v>293</v>
      </c>
      <c r="B11" s="38" t="s">
        <v>53</v>
      </c>
      <c r="C11" s="37"/>
      <c r="D11" s="37" t="s">
        <v>50</v>
      </c>
      <c r="E11" s="39">
        <v>120</v>
      </c>
      <c r="F11" s="37"/>
      <c r="G11" s="37"/>
      <c r="H11" s="37"/>
    </row>
    <row r="12" spans="1:8" ht="15" customHeight="1" x14ac:dyDescent="0.25">
      <c r="A12" s="40" t="s">
        <v>293</v>
      </c>
      <c r="B12" s="41" t="s">
        <v>54</v>
      </c>
      <c r="C12" s="40"/>
      <c r="D12" s="40" t="s">
        <v>50</v>
      </c>
      <c r="E12" s="42">
        <v>288</v>
      </c>
      <c r="F12" s="40"/>
      <c r="G12" s="40"/>
      <c r="H12" s="40"/>
    </row>
    <row r="13" spans="1:8" ht="15" customHeight="1" x14ac:dyDescent="0.25">
      <c r="A13" s="37" t="s">
        <v>293</v>
      </c>
      <c r="B13" s="38" t="s">
        <v>55</v>
      </c>
      <c r="C13" s="37"/>
      <c r="D13" s="37" t="s">
        <v>50</v>
      </c>
      <c r="E13" s="39">
        <v>135</v>
      </c>
      <c r="F13" s="37"/>
      <c r="G13" s="37"/>
      <c r="H13" s="37"/>
    </row>
    <row r="14" spans="1:8" ht="15" customHeight="1" x14ac:dyDescent="0.25">
      <c r="A14" s="40" t="s">
        <v>293</v>
      </c>
      <c r="B14" s="40" t="s">
        <v>126</v>
      </c>
      <c r="C14" s="31"/>
      <c r="D14" s="40" t="s">
        <v>50</v>
      </c>
      <c r="E14" s="107">
        <f>'💳 Empréstimo'!F43</f>
        <v>560</v>
      </c>
      <c r="F14" s="31"/>
      <c r="G14" s="40" t="s">
        <v>294</v>
      </c>
      <c r="H14" s="31"/>
    </row>
    <row r="15" spans="1:8" ht="15" customHeight="1" x14ac:dyDescent="0.25">
      <c r="A15" s="31"/>
      <c r="B15" s="31"/>
      <c r="C15" s="31"/>
      <c r="D15" s="31"/>
      <c r="E15" s="29"/>
      <c r="F15" s="31"/>
      <c r="G15" s="31"/>
      <c r="H15" s="31"/>
    </row>
    <row r="16" spans="1:8" ht="15" customHeight="1" x14ac:dyDescent="0.25">
      <c r="A16" s="31"/>
      <c r="B16" s="31"/>
      <c r="C16" s="31"/>
      <c r="D16" s="31"/>
      <c r="E16" s="29"/>
      <c r="F16" s="31"/>
      <c r="G16" s="31"/>
      <c r="H16" s="31"/>
    </row>
    <row r="17" spans="1:8" ht="15" customHeight="1" x14ac:dyDescent="0.25">
      <c r="A17" s="155" t="s">
        <v>56</v>
      </c>
      <c r="B17" s="152"/>
      <c r="C17" s="152"/>
      <c r="D17" s="153"/>
      <c r="E17" s="43">
        <f>SUM(E7:E16)</f>
        <v>1730</v>
      </c>
      <c r="F17" s="44"/>
      <c r="G17" s="44"/>
      <c r="H17" s="44"/>
    </row>
    <row r="18" spans="1:8" ht="15" customHeight="1" x14ac:dyDescent="0.25">
      <c r="A18" s="156" t="s">
        <v>57</v>
      </c>
      <c r="B18" s="152"/>
      <c r="C18" s="152"/>
      <c r="D18" s="153"/>
      <c r="E18" s="45">
        <v>1350</v>
      </c>
      <c r="F18" s="44"/>
      <c r="G18" s="44"/>
      <c r="H18" s="44"/>
    </row>
    <row r="19" spans="1:8" ht="15" customHeight="1" x14ac:dyDescent="0.25">
      <c r="A19" s="157" t="s">
        <v>58</v>
      </c>
      <c r="B19" s="152"/>
      <c r="C19" s="152"/>
      <c r="D19" s="153"/>
      <c r="E19" s="46">
        <f>E17+E18</f>
        <v>3080</v>
      </c>
      <c r="F19" s="47"/>
      <c r="G19" s="47"/>
      <c r="H19" s="47"/>
    </row>
    <row r="20" spans="1:8" ht="14.25" customHeight="1" x14ac:dyDescent="0.25">
      <c r="A20" s="17"/>
      <c r="B20" s="17"/>
      <c r="C20" s="17"/>
      <c r="D20" s="17"/>
      <c r="E20" s="17"/>
      <c r="F20" s="17"/>
      <c r="G20" s="17"/>
      <c r="H20" s="17"/>
    </row>
    <row r="21" spans="1:8" ht="19.5" customHeight="1" x14ac:dyDescent="0.25">
      <c r="A21" s="158" t="s">
        <v>295</v>
      </c>
      <c r="B21" s="146"/>
      <c r="C21" s="146"/>
      <c r="D21" s="146"/>
      <c r="E21" s="146"/>
      <c r="F21" s="146"/>
      <c r="G21" s="146"/>
      <c r="H21" s="147"/>
    </row>
    <row r="22" spans="1:8" ht="15" customHeight="1" x14ac:dyDescent="0.25">
      <c r="A22" s="48" t="s">
        <v>22</v>
      </c>
      <c r="B22" s="48" t="s">
        <v>39</v>
      </c>
      <c r="C22" s="48" t="s">
        <v>40</v>
      </c>
      <c r="D22" s="48" t="s">
        <v>41</v>
      </c>
      <c r="E22" s="48" t="s">
        <v>42</v>
      </c>
      <c r="F22" s="48" t="s">
        <v>60</v>
      </c>
      <c r="G22" s="48" t="s">
        <v>44</v>
      </c>
      <c r="H22" s="48"/>
    </row>
    <row r="23" spans="1:8" ht="15" customHeight="1" x14ac:dyDescent="0.25">
      <c r="A23" s="49" t="s">
        <v>293</v>
      </c>
      <c r="B23" s="50" t="s">
        <v>61</v>
      </c>
      <c r="C23" s="49" t="s">
        <v>62</v>
      </c>
      <c r="D23" s="49" t="s">
        <v>50</v>
      </c>
      <c r="E23" s="51">
        <v>1475</v>
      </c>
      <c r="F23" s="49"/>
      <c r="G23" s="49"/>
      <c r="H23" s="49"/>
    </row>
    <row r="24" spans="1:8" ht="15" customHeight="1" x14ac:dyDescent="0.25">
      <c r="A24" s="52" t="s">
        <v>293</v>
      </c>
      <c r="B24" s="53" t="s">
        <v>63</v>
      </c>
      <c r="C24" s="52" t="s">
        <v>62</v>
      </c>
      <c r="D24" s="52" t="s">
        <v>50</v>
      </c>
      <c r="E24" s="54">
        <v>1300</v>
      </c>
      <c r="F24" s="52"/>
      <c r="G24" s="52"/>
      <c r="H24" s="52"/>
    </row>
    <row r="25" spans="1:8" ht="15" customHeight="1" x14ac:dyDescent="0.25">
      <c r="A25" s="49" t="s">
        <v>293</v>
      </c>
      <c r="B25" s="50" t="s">
        <v>64</v>
      </c>
      <c r="C25" s="49" t="s">
        <v>62</v>
      </c>
      <c r="D25" s="49" t="s">
        <v>50</v>
      </c>
      <c r="E25" s="51">
        <v>1500</v>
      </c>
      <c r="F25" s="49"/>
      <c r="G25" s="49"/>
      <c r="H25" s="49"/>
    </row>
    <row r="26" spans="1:8" ht="15" customHeight="1" x14ac:dyDescent="0.25">
      <c r="A26" s="52"/>
      <c r="B26" s="53"/>
      <c r="C26" s="52"/>
      <c r="D26" s="52"/>
      <c r="E26" s="54"/>
      <c r="F26" s="52"/>
      <c r="G26" s="52"/>
      <c r="H26" s="52"/>
    </row>
    <row r="27" spans="1:8" ht="15" customHeight="1" x14ac:dyDescent="0.25">
      <c r="A27" s="55"/>
      <c r="B27" s="55"/>
      <c r="C27" s="55"/>
      <c r="D27" s="55"/>
      <c r="E27" s="56"/>
      <c r="F27" s="55"/>
      <c r="G27" s="55"/>
      <c r="H27" s="55"/>
    </row>
    <row r="28" spans="1:8" ht="15" customHeight="1" x14ac:dyDescent="0.25">
      <c r="A28" s="55"/>
      <c r="B28" s="55"/>
      <c r="C28" s="55"/>
      <c r="D28" s="55"/>
      <c r="E28" s="56"/>
      <c r="F28" s="55"/>
      <c r="G28" s="55"/>
      <c r="H28" s="55"/>
    </row>
    <row r="29" spans="1:8" ht="15" customHeight="1" x14ac:dyDescent="0.25">
      <c r="A29" s="157" t="s">
        <v>66</v>
      </c>
      <c r="B29" s="152"/>
      <c r="C29" s="152"/>
      <c r="D29" s="153"/>
      <c r="E29" s="46">
        <f>SUM(E23:E28)</f>
        <v>4275</v>
      </c>
      <c r="F29" s="47"/>
      <c r="G29" s="47"/>
      <c r="H29" s="47"/>
    </row>
    <row r="30" spans="1:8" ht="15.75" customHeight="1" x14ac:dyDescent="0.25">
      <c r="A30" s="17"/>
      <c r="B30" s="17"/>
      <c r="C30" s="17"/>
      <c r="D30" s="17"/>
      <c r="E30" s="17"/>
      <c r="F30" s="17"/>
      <c r="G30" s="17"/>
      <c r="H30" s="17"/>
    </row>
    <row r="31" spans="1:8" ht="19.5" customHeight="1" x14ac:dyDescent="0.25">
      <c r="A31" s="159" t="s">
        <v>67</v>
      </c>
      <c r="B31" s="146"/>
      <c r="C31" s="146"/>
      <c r="D31" s="146"/>
      <c r="E31" s="146"/>
      <c r="F31" s="146"/>
      <c r="G31" s="146"/>
      <c r="H31" s="147"/>
    </row>
    <row r="32" spans="1:8" ht="15" customHeight="1" x14ac:dyDescent="0.25">
      <c r="A32" s="151" t="s">
        <v>68</v>
      </c>
      <c r="B32" s="152"/>
      <c r="C32" s="152"/>
      <c r="D32" s="153"/>
      <c r="E32" s="57">
        <f>E29-E19</f>
        <v>1195</v>
      </c>
      <c r="F32" s="58"/>
      <c r="G32" s="58"/>
      <c r="H32" s="58"/>
    </row>
    <row r="33" spans="1:8" ht="15" customHeight="1" x14ac:dyDescent="0.25">
      <c r="A33" s="151" t="s">
        <v>76</v>
      </c>
      <c r="B33" s="152"/>
      <c r="C33" s="152"/>
      <c r="D33" s="153"/>
      <c r="E33" s="57">
        <f>0.7*(E29-E19)</f>
        <v>836.5</v>
      </c>
      <c r="F33" s="58"/>
      <c r="G33" s="58"/>
      <c r="H33" s="58"/>
    </row>
    <row r="34" spans="1:8" ht="15" customHeight="1" x14ac:dyDescent="0.25">
      <c r="A34" s="151" t="s">
        <v>70</v>
      </c>
      <c r="B34" s="152"/>
      <c r="C34" s="152"/>
      <c r="D34" s="153"/>
      <c r="E34" s="57">
        <f>E19/6</f>
        <v>513.33333333333337</v>
      </c>
      <c r="F34" s="58"/>
      <c r="G34" s="58"/>
      <c r="H34" s="58"/>
    </row>
    <row r="35" spans="1:8" ht="15.75" customHeight="1" x14ac:dyDescent="0.25">
      <c r="A35" s="17"/>
      <c r="B35" s="17"/>
      <c r="C35" s="17"/>
      <c r="D35" s="17"/>
      <c r="E35" s="17"/>
      <c r="F35" s="17"/>
      <c r="G35" s="17"/>
      <c r="H35" s="17"/>
    </row>
    <row r="36" spans="1:8" ht="15.75" customHeight="1" x14ac:dyDescent="0.25">
      <c r="A36" s="17"/>
      <c r="B36" s="17"/>
      <c r="C36" s="17"/>
      <c r="D36" s="17"/>
      <c r="E36" s="17"/>
      <c r="F36" s="17"/>
      <c r="G36" s="17"/>
      <c r="H36" s="17"/>
    </row>
    <row r="37" spans="1:8" ht="15.75" customHeight="1" x14ac:dyDescent="0.25">
      <c r="A37" s="17"/>
      <c r="B37" s="17"/>
      <c r="C37" s="17"/>
      <c r="D37" s="17"/>
      <c r="E37" s="17"/>
      <c r="F37" s="17"/>
      <c r="G37" s="17"/>
      <c r="H37" s="17"/>
    </row>
    <row r="38" spans="1:8" ht="15.75" customHeight="1" x14ac:dyDescent="0.25">
      <c r="A38" s="17"/>
      <c r="B38" s="17"/>
      <c r="C38" s="17"/>
      <c r="D38" s="17"/>
      <c r="E38" s="17"/>
      <c r="F38" s="17"/>
      <c r="G38" s="17"/>
      <c r="H38" s="17"/>
    </row>
    <row r="39" spans="1:8" ht="15.75" customHeight="1" x14ac:dyDescent="0.25">
      <c r="A39" s="17"/>
      <c r="B39" s="17"/>
      <c r="C39" s="17"/>
      <c r="D39" s="17"/>
      <c r="E39" s="17"/>
      <c r="F39" s="17"/>
      <c r="G39" s="17"/>
      <c r="H39" s="17"/>
    </row>
    <row r="40" spans="1:8" ht="15.75" customHeight="1" x14ac:dyDescent="0.25">
      <c r="A40" s="17"/>
      <c r="B40" s="17"/>
      <c r="C40" s="17"/>
      <c r="D40" s="17"/>
      <c r="E40" s="17"/>
      <c r="F40" s="17"/>
      <c r="G40" s="17"/>
      <c r="H40" s="17"/>
    </row>
    <row r="41" spans="1:8" ht="15.75" customHeight="1" x14ac:dyDescent="0.25">
      <c r="A41" s="17"/>
      <c r="B41" s="17"/>
      <c r="C41" s="17"/>
      <c r="D41" s="17"/>
      <c r="E41" s="17"/>
      <c r="F41" s="17"/>
      <c r="G41" s="17"/>
      <c r="H41" s="17"/>
    </row>
    <row r="42" spans="1:8" ht="15.75" customHeight="1" x14ac:dyDescent="0.25">
      <c r="A42" s="17"/>
      <c r="B42" s="17"/>
      <c r="C42" s="17"/>
      <c r="D42" s="17"/>
      <c r="E42" s="17"/>
      <c r="F42" s="17"/>
      <c r="G42" s="17"/>
      <c r="H42" s="17"/>
    </row>
    <row r="43" spans="1:8" ht="15.75" customHeight="1" x14ac:dyDescent="0.25">
      <c r="A43" s="17"/>
      <c r="B43" s="17"/>
      <c r="C43" s="17"/>
      <c r="D43" s="17"/>
      <c r="E43" s="17"/>
      <c r="F43" s="17"/>
      <c r="G43" s="17"/>
      <c r="H43" s="17"/>
    </row>
    <row r="44" spans="1:8" ht="15.75" customHeight="1" x14ac:dyDescent="0.25">
      <c r="A44" s="17"/>
      <c r="B44" s="17"/>
      <c r="C44" s="17"/>
      <c r="D44" s="17"/>
      <c r="E44" s="17"/>
      <c r="F44" s="17"/>
      <c r="G44" s="17"/>
      <c r="H44" s="17"/>
    </row>
    <row r="45" spans="1:8" ht="15.75" customHeight="1" x14ac:dyDescent="0.25">
      <c r="A45" s="17"/>
      <c r="B45" s="17"/>
      <c r="C45" s="17"/>
      <c r="D45" s="17"/>
      <c r="E45" s="17"/>
      <c r="F45" s="17"/>
      <c r="G45" s="17"/>
      <c r="H45" s="17"/>
    </row>
    <row r="46" spans="1:8" ht="15.75" customHeight="1" x14ac:dyDescent="0.25">
      <c r="A46" s="17"/>
      <c r="B46" s="17"/>
      <c r="C46" s="17"/>
      <c r="D46" s="17"/>
      <c r="E46" s="17"/>
      <c r="F46" s="17"/>
      <c r="G46" s="17"/>
      <c r="H46" s="17"/>
    </row>
    <row r="47" spans="1:8" ht="15.75" customHeight="1" x14ac:dyDescent="0.25">
      <c r="A47" s="17"/>
      <c r="B47" s="17"/>
      <c r="C47" s="17"/>
      <c r="D47" s="17"/>
      <c r="E47" s="17"/>
      <c r="F47" s="17"/>
      <c r="G47" s="17"/>
      <c r="H47" s="17"/>
    </row>
    <row r="48" spans="1:8" ht="15.75" customHeight="1" x14ac:dyDescent="0.25">
      <c r="A48" s="17"/>
      <c r="B48" s="17"/>
      <c r="C48" s="17"/>
      <c r="D48" s="17"/>
      <c r="E48" s="17"/>
      <c r="F48" s="17"/>
      <c r="G48" s="17"/>
      <c r="H48" s="17"/>
    </row>
    <row r="49" spans="1:8" ht="15.75" customHeight="1" x14ac:dyDescent="0.25">
      <c r="A49" s="17"/>
      <c r="B49" s="17"/>
      <c r="C49" s="17"/>
      <c r="D49" s="17"/>
      <c r="E49" s="17"/>
      <c r="F49" s="17"/>
      <c r="G49" s="17"/>
      <c r="H49" s="17"/>
    </row>
    <row r="50" spans="1:8" ht="15.75" customHeight="1" x14ac:dyDescent="0.25">
      <c r="A50" s="17"/>
      <c r="B50" s="17"/>
      <c r="C50" s="17"/>
      <c r="D50" s="17"/>
      <c r="E50" s="17"/>
      <c r="F50" s="17"/>
      <c r="G50" s="17"/>
      <c r="H50" s="17"/>
    </row>
    <row r="51" spans="1:8" ht="15.75" customHeight="1" x14ac:dyDescent="0.25">
      <c r="A51" s="17"/>
      <c r="B51" s="17"/>
      <c r="C51" s="17"/>
      <c r="D51" s="17"/>
      <c r="E51" s="17"/>
      <c r="F51" s="17"/>
      <c r="G51" s="17"/>
      <c r="H51" s="17"/>
    </row>
    <row r="52" spans="1:8" ht="15.75" customHeight="1" x14ac:dyDescent="0.25">
      <c r="A52" s="17"/>
      <c r="B52" s="17"/>
      <c r="C52" s="17"/>
      <c r="D52" s="17"/>
      <c r="E52" s="17"/>
      <c r="F52" s="17"/>
      <c r="G52" s="17"/>
      <c r="H52" s="17"/>
    </row>
    <row r="53" spans="1:8" ht="15.75" customHeight="1" x14ac:dyDescent="0.25">
      <c r="A53" s="17"/>
      <c r="B53" s="17"/>
      <c r="C53" s="17"/>
      <c r="D53" s="17"/>
      <c r="E53" s="17"/>
      <c r="F53" s="17"/>
      <c r="G53" s="17"/>
      <c r="H53" s="17"/>
    </row>
    <row r="54" spans="1:8" ht="15.75" customHeight="1" x14ac:dyDescent="0.25">
      <c r="A54" s="17"/>
      <c r="B54" s="17"/>
      <c r="C54" s="17"/>
      <c r="D54" s="17"/>
      <c r="E54" s="17"/>
      <c r="F54" s="17"/>
      <c r="G54" s="17"/>
      <c r="H54" s="17"/>
    </row>
    <row r="55" spans="1:8" ht="15.75" customHeight="1" x14ac:dyDescent="0.25">
      <c r="A55" s="17"/>
      <c r="B55" s="17"/>
      <c r="C55" s="17"/>
      <c r="D55" s="17"/>
      <c r="E55" s="17"/>
      <c r="F55" s="17"/>
      <c r="G55" s="17"/>
      <c r="H55" s="17"/>
    </row>
    <row r="56" spans="1:8" ht="15.75" customHeight="1" x14ac:dyDescent="0.25">
      <c r="A56" s="17"/>
      <c r="B56" s="17"/>
      <c r="C56" s="17"/>
      <c r="D56" s="17"/>
      <c r="E56" s="17"/>
      <c r="F56" s="17"/>
      <c r="G56" s="17"/>
      <c r="H56" s="17"/>
    </row>
    <row r="57" spans="1:8" ht="15.75" customHeight="1" x14ac:dyDescent="0.25">
      <c r="A57" s="17"/>
      <c r="B57" s="17"/>
      <c r="C57" s="17"/>
      <c r="D57" s="17"/>
      <c r="E57" s="17"/>
      <c r="F57" s="17"/>
      <c r="G57" s="17"/>
      <c r="H57" s="17"/>
    </row>
    <row r="58" spans="1:8" ht="15.75" customHeight="1" x14ac:dyDescent="0.25">
      <c r="A58" s="17"/>
      <c r="B58" s="17"/>
      <c r="C58" s="17"/>
      <c r="D58" s="17"/>
      <c r="E58" s="17"/>
      <c r="F58" s="17"/>
      <c r="G58" s="17"/>
      <c r="H58" s="17"/>
    </row>
    <row r="59" spans="1:8" ht="15.75" customHeight="1" x14ac:dyDescent="0.25">
      <c r="A59" s="17"/>
      <c r="B59" s="17"/>
      <c r="C59" s="17"/>
      <c r="D59" s="17"/>
      <c r="E59" s="17"/>
      <c r="F59" s="17"/>
      <c r="G59" s="17"/>
      <c r="H59" s="17"/>
    </row>
    <row r="60" spans="1:8" ht="15.75" customHeight="1" x14ac:dyDescent="0.25">
      <c r="A60" s="17"/>
      <c r="B60" s="17"/>
      <c r="C60" s="17"/>
      <c r="D60" s="17"/>
      <c r="E60" s="17"/>
      <c r="F60" s="17"/>
      <c r="G60" s="17"/>
      <c r="H60" s="17"/>
    </row>
    <row r="61" spans="1:8" ht="15.75" customHeight="1" x14ac:dyDescent="0.25">
      <c r="A61" s="17"/>
      <c r="B61" s="17"/>
      <c r="C61" s="17"/>
      <c r="D61" s="17"/>
      <c r="E61" s="17"/>
      <c r="F61" s="17"/>
      <c r="G61" s="17"/>
      <c r="H61" s="17"/>
    </row>
    <row r="62" spans="1:8" ht="15.75" customHeight="1" x14ac:dyDescent="0.25">
      <c r="A62" s="17"/>
      <c r="B62" s="17"/>
      <c r="C62" s="17"/>
      <c r="D62" s="17"/>
      <c r="E62" s="17"/>
      <c r="F62" s="17"/>
      <c r="G62" s="17"/>
      <c r="H62" s="17"/>
    </row>
    <row r="63" spans="1:8" ht="15.75" customHeight="1" x14ac:dyDescent="0.25">
      <c r="A63" s="17"/>
      <c r="B63" s="17"/>
      <c r="C63" s="17"/>
      <c r="D63" s="17"/>
      <c r="E63" s="17"/>
      <c r="F63" s="17"/>
      <c r="G63" s="17"/>
      <c r="H63" s="17"/>
    </row>
    <row r="64" spans="1:8" ht="15.75" customHeight="1" x14ac:dyDescent="0.25">
      <c r="A64" s="17"/>
      <c r="B64" s="17"/>
      <c r="C64" s="17"/>
      <c r="D64" s="17"/>
      <c r="E64" s="17"/>
      <c r="F64" s="17"/>
      <c r="G64" s="17"/>
      <c r="H64" s="17"/>
    </row>
    <row r="65" spans="1:8" ht="15.75" customHeight="1" x14ac:dyDescent="0.25">
      <c r="A65" s="17"/>
      <c r="B65" s="17"/>
      <c r="C65" s="17"/>
      <c r="D65" s="17"/>
      <c r="E65" s="17"/>
      <c r="F65" s="17"/>
      <c r="G65" s="17"/>
      <c r="H65" s="17"/>
    </row>
    <row r="66" spans="1:8" ht="15.75" customHeight="1" x14ac:dyDescent="0.25">
      <c r="A66" s="17"/>
      <c r="B66" s="17"/>
      <c r="C66" s="17"/>
      <c r="D66" s="17"/>
      <c r="E66" s="17"/>
      <c r="F66" s="17"/>
      <c r="G66" s="17"/>
      <c r="H66" s="17"/>
    </row>
    <row r="67" spans="1:8" ht="15.75" customHeight="1" x14ac:dyDescent="0.25">
      <c r="A67" s="17"/>
      <c r="B67" s="17"/>
      <c r="C67" s="17"/>
      <c r="D67" s="17"/>
      <c r="E67" s="17"/>
      <c r="F67" s="17"/>
      <c r="G67" s="17"/>
      <c r="H67" s="17"/>
    </row>
    <row r="68" spans="1:8" ht="15.75" customHeight="1" x14ac:dyDescent="0.25">
      <c r="A68" s="17"/>
      <c r="B68" s="17"/>
      <c r="C68" s="17"/>
      <c r="D68" s="17"/>
      <c r="E68" s="17"/>
      <c r="F68" s="17"/>
      <c r="G68" s="17"/>
      <c r="H68" s="17"/>
    </row>
    <row r="69" spans="1:8" ht="15.75" customHeight="1" x14ac:dyDescent="0.25">
      <c r="A69" s="17"/>
      <c r="B69" s="17"/>
      <c r="C69" s="17"/>
      <c r="D69" s="17"/>
      <c r="E69" s="17"/>
      <c r="F69" s="17"/>
      <c r="G69" s="17"/>
      <c r="H69" s="17"/>
    </row>
    <row r="70" spans="1:8" ht="15.75" customHeight="1" x14ac:dyDescent="0.25">
      <c r="A70" s="17"/>
      <c r="B70" s="17"/>
      <c r="C70" s="17"/>
      <c r="D70" s="17"/>
      <c r="E70" s="17"/>
      <c r="F70" s="17"/>
      <c r="G70" s="17"/>
      <c r="H70" s="17"/>
    </row>
    <row r="71" spans="1:8" ht="15.75" customHeight="1" x14ac:dyDescent="0.25">
      <c r="A71" s="17"/>
      <c r="B71" s="17"/>
      <c r="C71" s="17"/>
      <c r="D71" s="17"/>
      <c r="E71" s="17"/>
      <c r="F71" s="17"/>
      <c r="G71" s="17"/>
      <c r="H71" s="17"/>
    </row>
    <row r="72" spans="1:8" ht="15.75" customHeight="1" x14ac:dyDescent="0.25">
      <c r="A72" s="17"/>
      <c r="B72" s="17"/>
      <c r="C72" s="17"/>
      <c r="D72" s="17"/>
      <c r="E72" s="17"/>
      <c r="F72" s="17"/>
      <c r="G72" s="17"/>
      <c r="H72" s="17"/>
    </row>
    <row r="73" spans="1:8" ht="15.75" customHeight="1" x14ac:dyDescent="0.25">
      <c r="A73" s="17"/>
      <c r="B73" s="17"/>
      <c r="C73" s="17"/>
      <c r="D73" s="17"/>
      <c r="E73" s="17"/>
      <c r="F73" s="17"/>
      <c r="G73" s="17"/>
      <c r="H73" s="17"/>
    </row>
    <row r="74" spans="1:8" ht="15.75" customHeight="1" x14ac:dyDescent="0.25">
      <c r="A74" s="17"/>
      <c r="B74" s="17"/>
      <c r="C74" s="17"/>
      <c r="D74" s="17"/>
      <c r="E74" s="17"/>
      <c r="F74" s="17"/>
      <c r="G74" s="17"/>
      <c r="H74" s="17"/>
    </row>
    <row r="75" spans="1:8" ht="15.75" customHeight="1" x14ac:dyDescent="0.25">
      <c r="A75" s="17"/>
      <c r="B75" s="17"/>
      <c r="C75" s="17"/>
      <c r="D75" s="17"/>
      <c r="E75" s="17"/>
      <c r="F75" s="17"/>
      <c r="G75" s="17"/>
      <c r="H75" s="17"/>
    </row>
    <row r="76" spans="1:8" ht="15.75" customHeight="1" x14ac:dyDescent="0.25">
      <c r="A76" s="17"/>
      <c r="B76" s="17"/>
      <c r="C76" s="17"/>
      <c r="D76" s="17"/>
      <c r="E76" s="17"/>
      <c r="F76" s="17"/>
      <c r="G76" s="17"/>
      <c r="H76" s="17"/>
    </row>
    <row r="77" spans="1:8" ht="15.75" customHeight="1" x14ac:dyDescent="0.25">
      <c r="A77" s="17"/>
      <c r="B77" s="17"/>
      <c r="C77" s="17"/>
      <c r="D77" s="17"/>
      <c r="E77" s="17"/>
      <c r="F77" s="17"/>
      <c r="G77" s="17"/>
      <c r="H77" s="17"/>
    </row>
    <row r="78" spans="1:8" ht="15.75" customHeight="1" x14ac:dyDescent="0.25">
      <c r="A78" s="17"/>
      <c r="B78" s="17"/>
      <c r="C78" s="17"/>
      <c r="D78" s="17"/>
      <c r="E78" s="17"/>
      <c r="F78" s="17"/>
      <c r="G78" s="17"/>
      <c r="H78" s="17"/>
    </row>
    <row r="79" spans="1:8" ht="15.75" customHeight="1" x14ac:dyDescent="0.25">
      <c r="A79" s="17"/>
      <c r="B79" s="17"/>
      <c r="C79" s="17"/>
      <c r="D79" s="17"/>
      <c r="E79" s="17"/>
      <c r="F79" s="17"/>
      <c r="G79" s="17"/>
      <c r="H79" s="17"/>
    </row>
    <row r="80" spans="1:8" ht="15.75" customHeight="1" x14ac:dyDescent="0.25">
      <c r="A80" s="17"/>
      <c r="B80" s="17"/>
      <c r="C80" s="17"/>
      <c r="D80" s="17"/>
      <c r="E80" s="17"/>
      <c r="F80" s="17"/>
      <c r="G80" s="17"/>
      <c r="H80" s="17"/>
    </row>
    <row r="81" spans="1:8" ht="15.75" customHeight="1" x14ac:dyDescent="0.25">
      <c r="A81" s="17"/>
      <c r="B81" s="17"/>
      <c r="C81" s="17"/>
      <c r="D81" s="17"/>
      <c r="E81" s="17"/>
      <c r="F81" s="17"/>
      <c r="G81" s="17"/>
      <c r="H81" s="17"/>
    </row>
    <row r="82" spans="1:8" ht="15.75" customHeight="1" x14ac:dyDescent="0.25">
      <c r="A82" s="17"/>
      <c r="B82" s="17"/>
      <c r="C82" s="17"/>
      <c r="D82" s="17"/>
      <c r="E82" s="17"/>
      <c r="F82" s="17"/>
      <c r="G82" s="17"/>
      <c r="H82" s="17"/>
    </row>
    <row r="83" spans="1:8" ht="15.75" customHeight="1" x14ac:dyDescent="0.25">
      <c r="A83" s="17"/>
      <c r="B83" s="17"/>
      <c r="C83" s="17"/>
      <c r="D83" s="17"/>
      <c r="E83" s="17"/>
      <c r="F83" s="17"/>
      <c r="G83" s="17"/>
      <c r="H83" s="17"/>
    </row>
    <row r="84" spans="1:8" ht="15.75" customHeight="1" x14ac:dyDescent="0.25">
      <c r="A84" s="17"/>
      <c r="B84" s="17"/>
      <c r="C84" s="17"/>
      <c r="D84" s="17"/>
      <c r="E84" s="17"/>
      <c r="F84" s="17"/>
      <c r="G84" s="17"/>
      <c r="H84" s="17"/>
    </row>
    <row r="85" spans="1:8" ht="15.75" customHeight="1" x14ac:dyDescent="0.25">
      <c r="A85" s="17"/>
      <c r="B85" s="17"/>
      <c r="C85" s="17"/>
      <c r="D85" s="17"/>
      <c r="E85" s="17"/>
      <c r="F85" s="17"/>
      <c r="G85" s="17"/>
      <c r="H85" s="17"/>
    </row>
    <row r="86" spans="1:8" ht="15.75" customHeight="1" x14ac:dyDescent="0.25">
      <c r="A86" s="17"/>
      <c r="B86" s="17"/>
      <c r="C86" s="17"/>
      <c r="D86" s="17"/>
      <c r="E86" s="17"/>
      <c r="F86" s="17"/>
      <c r="G86" s="17"/>
      <c r="H86" s="17"/>
    </row>
    <row r="87" spans="1:8" ht="15.75" customHeight="1" x14ac:dyDescent="0.25">
      <c r="A87" s="17"/>
      <c r="B87" s="17"/>
      <c r="C87" s="17"/>
      <c r="D87" s="17"/>
      <c r="E87" s="17"/>
      <c r="F87" s="17"/>
      <c r="G87" s="17"/>
      <c r="H87" s="17"/>
    </row>
    <row r="88" spans="1:8" ht="15.75" customHeight="1" x14ac:dyDescent="0.25">
      <c r="A88" s="17"/>
      <c r="B88" s="17"/>
      <c r="C88" s="17"/>
      <c r="D88" s="17"/>
      <c r="E88" s="17"/>
      <c r="F88" s="17"/>
      <c r="G88" s="17"/>
      <c r="H88" s="17"/>
    </row>
    <row r="89" spans="1:8" ht="15.75" customHeight="1" x14ac:dyDescent="0.25">
      <c r="A89" s="17"/>
      <c r="B89" s="17"/>
      <c r="C89" s="17"/>
      <c r="D89" s="17"/>
      <c r="E89" s="17"/>
      <c r="F89" s="17"/>
      <c r="G89" s="17"/>
      <c r="H89" s="17"/>
    </row>
    <row r="90" spans="1:8" ht="15.75" customHeight="1" x14ac:dyDescent="0.25">
      <c r="A90" s="17"/>
      <c r="B90" s="17"/>
      <c r="C90" s="17"/>
      <c r="D90" s="17"/>
      <c r="E90" s="17"/>
      <c r="F90" s="17"/>
      <c r="G90" s="17"/>
      <c r="H90" s="17"/>
    </row>
    <row r="91" spans="1:8" ht="15.75" customHeight="1" x14ac:dyDescent="0.25">
      <c r="A91" s="17"/>
      <c r="B91" s="17"/>
      <c r="C91" s="17"/>
      <c r="D91" s="17"/>
      <c r="E91" s="17"/>
      <c r="F91" s="17"/>
      <c r="G91" s="17"/>
      <c r="H91" s="17"/>
    </row>
    <row r="92" spans="1:8" ht="15.75" customHeight="1" x14ac:dyDescent="0.25">
      <c r="A92" s="17"/>
      <c r="B92" s="17"/>
      <c r="C92" s="17"/>
      <c r="D92" s="17"/>
      <c r="E92" s="17"/>
      <c r="F92" s="17"/>
      <c r="G92" s="17"/>
      <c r="H92" s="17"/>
    </row>
    <row r="93" spans="1:8" ht="15.75" customHeight="1" x14ac:dyDescent="0.25">
      <c r="A93" s="17"/>
      <c r="B93" s="17"/>
      <c r="C93" s="17"/>
      <c r="D93" s="17"/>
      <c r="E93" s="17"/>
      <c r="F93" s="17"/>
      <c r="G93" s="17"/>
      <c r="H93" s="17"/>
    </row>
    <row r="94" spans="1:8" ht="15.75" customHeight="1" x14ac:dyDescent="0.25">
      <c r="A94" s="17"/>
      <c r="B94" s="17"/>
      <c r="C94" s="17"/>
      <c r="D94" s="17"/>
      <c r="E94" s="17"/>
      <c r="F94" s="17"/>
      <c r="G94" s="17"/>
      <c r="H94" s="17"/>
    </row>
    <row r="95" spans="1:8" ht="15.75" customHeight="1" x14ac:dyDescent="0.25">
      <c r="A95" s="17"/>
      <c r="B95" s="17"/>
      <c r="C95" s="17"/>
      <c r="D95" s="17"/>
      <c r="E95" s="17"/>
      <c r="F95" s="17"/>
      <c r="G95" s="17"/>
      <c r="H95" s="17"/>
    </row>
    <row r="96" spans="1:8" ht="15.75" customHeight="1" x14ac:dyDescent="0.25">
      <c r="A96" s="17"/>
      <c r="B96" s="17"/>
      <c r="C96" s="17"/>
      <c r="D96" s="17"/>
      <c r="E96" s="17"/>
      <c r="F96" s="17"/>
      <c r="G96" s="17"/>
      <c r="H96" s="17"/>
    </row>
    <row r="97" spans="1:8" ht="15.75" customHeight="1" x14ac:dyDescent="0.25">
      <c r="A97" s="17"/>
      <c r="B97" s="17"/>
      <c r="C97" s="17"/>
      <c r="D97" s="17"/>
      <c r="E97" s="17"/>
      <c r="F97" s="17"/>
      <c r="G97" s="17"/>
      <c r="H97" s="17"/>
    </row>
    <row r="98" spans="1:8" ht="15.75" customHeight="1" x14ac:dyDescent="0.25">
      <c r="A98" s="17"/>
      <c r="B98" s="17"/>
      <c r="C98" s="17"/>
      <c r="D98" s="17"/>
      <c r="E98" s="17"/>
      <c r="F98" s="17"/>
      <c r="G98" s="17"/>
      <c r="H98" s="17"/>
    </row>
    <row r="99" spans="1:8" ht="15.75" customHeight="1" x14ac:dyDescent="0.25">
      <c r="A99" s="17"/>
      <c r="B99" s="17"/>
      <c r="C99" s="17"/>
      <c r="D99" s="17"/>
      <c r="E99" s="17"/>
      <c r="F99" s="17"/>
      <c r="G99" s="17"/>
      <c r="H99" s="17"/>
    </row>
    <row r="100" spans="1:8" ht="15.75" customHeight="1" x14ac:dyDescent="0.25">
      <c r="A100" s="17"/>
      <c r="B100" s="17"/>
      <c r="C100" s="17"/>
      <c r="D100" s="17"/>
      <c r="E100" s="17"/>
      <c r="F100" s="17"/>
      <c r="G100" s="17"/>
      <c r="H100" s="17"/>
    </row>
  </sheetData>
  <mergeCells count="19">
    <mergeCell ref="A1:H1"/>
    <mergeCell ref="A2:B2"/>
    <mergeCell ref="C2:D2"/>
    <mergeCell ref="E2:F2"/>
    <mergeCell ref="G2:H2"/>
    <mergeCell ref="A5:H5"/>
    <mergeCell ref="A32:D32"/>
    <mergeCell ref="A33:D33"/>
    <mergeCell ref="A34:D34"/>
    <mergeCell ref="C3:D3"/>
    <mergeCell ref="A17:D17"/>
    <mergeCell ref="A18:D18"/>
    <mergeCell ref="A19:D19"/>
    <mergeCell ref="A21:H21"/>
    <mergeCell ref="A29:D29"/>
    <mergeCell ref="A31:H31"/>
    <mergeCell ref="E3:F3"/>
    <mergeCell ref="G3:H3"/>
    <mergeCell ref="A3:B3"/>
  </mergeCells>
  <pageMargins left="0.75" right="0.75" top="1" bottom="1" header="0" footer="0"/>
  <pageSetup paperSize="9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2E86AB"/>
  </sheetPr>
  <dimension ref="A1:H100"/>
  <sheetViews>
    <sheetView workbookViewId="0">
      <selection sqref="A1:H1"/>
    </sheetView>
  </sheetViews>
  <sheetFormatPr defaultColWidth="14.42578125" defaultRowHeight="15" customHeight="1" x14ac:dyDescent="0.25"/>
  <cols>
    <col min="1" max="1" width="10" customWidth="1"/>
    <col min="2" max="2" width="26" customWidth="1"/>
    <col min="3" max="7" width="16" customWidth="1"/>
    <col min="8" max="8" width="20" customWidth="1"/>
  </cols>
  <sheetData>
    <row r="1" spans="1:8" ht="27.75" customHeight="1" x14ac:dyDescent="0.25">
      <c r="A1" s="163" t="s">
        <v>296</v>
      </c>
      <c r="B1" s="146"/>
      <c r="C1" s="146"/>
      <c r="D1" s="146"/>
      <c r="E1" s="146"/>
      <c r="F1" s="146"/>
      <c r="G1" s="146"/>
      <c r="H1" s="147"/>
    </row>
    <row r="2" spans="1:8" ht="18" customHeight="1" x14ac:dyDescent="0.25">
      <c r="A2" s="164" t="s">
        <v>34</v>
      </c>
      <c r="B2" s="147"/>
      <c r="C2" s="164" t="s">
        <v>35</v>
      </c>
      <c r="D2" s="147"/>
      <c r="E2" s="164" t="s">
        <v>36</v>
      </c>
      <c r="F2" s="147"/>
      <c r="G2" s="164" t="s">
        <v>37</v>
      </c>
      <c r="H2" s="147"/>
    </row>
    <row r="3" spans="1:8" ht="21.75" customHeight="1" x14ac:dyDescent="0.25">
      <c r="A3" s="162">
        <f>E29</f>
        <v>4275</v>
      </c>
      <c r="B3" s="147"/>
      <c r="C3" s="154">
        <f>E19</f>
        <v>3080</v>
      </c>
      <c r="D3" s="147"/>
      <c r="E3" s="160">
        <f>E29-E19</f>
        <v>1195</v>
      </c>
      <c r="F3" s="147"/>
      <c r="G3" s="161">
        <f>IF(E29&gt;0,(E29-E19)/E29,0)</f>
        <v>0.27953216374269008</v>
      </c>
      <c r="H3" s="147"/>
    </row>
    <row r="4" spans="1:8" ht="14.25" customHeight="1" x14ac:dyDescent="0.25">
      <c r="A4" s="17"/>
      <c r="B4" s="17"/>
      <c r="C4" s="17"/>
      <c r="D4" s="17"/>
      <c r="E4" s="17"/>
      <c r="F4" s="17"/>
      <c r="G4" s="17"/>
      <c r="H4" s="17"/>
    </row>
    <row r="5" spans="1:8" ht="19.5" customHeight="1" x14ac:dyDescent="0.25">
      <c r="A5" s="150" t="s">
        <v>297</v>
      </c>
      <c r="B5" s="146"/>
      <c r="C5" s="146"/>
      <c r="D5" s="146"/>
      <c r="E5" s="146"/>
      <c r="F5" s="146"/>
      <c r="G5" s="146"/>
      <c r="H5" s="147"/>
    </row>
    <row r="6" spans="1:8" ht="15" customHeight="1" x14ac:dyDescent="0.25">
      <c r="A6" s="36" t="s">
        <v>22</v>
      </c>
      <c r="B6" s="36" t="s">
        <v>39</v>
      </c>
      <c r="C6" s="36" t="s">
        <v>40</v>
      </c>
      <c r="D6" s="36" t="s">
        <v>41</v>
      </c>
      <c r="E6" s="36" t="s">
        <v>42</v>
      </c>
      <c r="F6" s="36" t="s">
        <v>43</v>
      </c>
      <c r="G6" s="36" t="s">
        <v>44</v>
      </c>
      <c r="H6" s="36"/>
    </row>
    <row r="7" spans="1:8" ht="15" customHeight="1" x14ac:dyDescent="0.25">
      <c r="A7" s="37" t="s">
        <v>298</v>
      </c>
      <c r="B7" s="38" t="s">
        <v>46</v>
      </c>
      <c r="C7" s="37" t="s">
        <v>167</v>
      </c>
      <c r="D7" s="37" t="s">
        <v>48</v>
      </c>
      <c r="E7" s="39">
        <v>86</v>
      </c>
      <c r="F7" s="37"/>
      <c r="G7" s="37"/>
      <c r="H7" s="37"/>
    </row>
    <row r="8" spans="1:8" ht="15" customHeight="1" x14ac:dyDescent="0.25">
      <c r="A8" s="40" t="s">
        <v>298</v>
      </c>
      <c r="B8" s="41" t="s">
        <v>49</v>
      </c>
      <c r="C8" s="40"/>
      <c r="D8" s="40" t="s">
        <v>50</v>
      </c>
      <c r="E8" s="42">
        <v>216</v>
      </c>
      <c r="F8" s="40"/>
      <c r="G8" s="40"/>
      <c r="H8" s="40"/>
    </row>
    <row r="9" spans="1:8" ht="15" customHeight="1" x14ac:dyDescent="0.25">
      <c r="A9" s="37" t="s">
        <v>298</v>
      </c>
      <c r="B9" s="38" t="s">
        <v>51</v>
      </c>
      <c r="C9" s="37"/>
      <c r="D9" s="37" t="s">
        <v>50</v>
      </c>
      <c r="E9" s="39">
        <v>230</v>
      </c>
      <c r="F9" s="37"/>
      <c r="G9" s="37"/>
      <c r="H9" s="37"/>
    </row>
    <row r="10" spans="1:8" ht="15" customHeight="1" x14ac:dyDescent="0.25">
      <c r="A10" s="40" t="s">
        <v>298</v>
      </c>
      <c r="B10" s="41" t="s">
        <v>52</v>
      </c>
      <c r="C10" s="40"/>
      <c r="D10" s="40" t="s">
        <v>50</v>
      </c>
      <c r="E10" s="42">
        <v>95</v>
      </c>
      <c r="F10" s="40"/>
      <c r="G10" s="40"/>
      <c r="H10" s="40"/>
    </row>
    <row r="11" spans="1:8" ht="15" customHeight="1" x14ac:dyDescent="0.25">
      <c r="A11" s="37" t="s">
        <v>298</v>
      </c>
      <c r="B11" s="38" t="s">
        <v>53</v>
      </c>
      <c r="C11" s="37"/>
      <c r="D11" s="37" t="s">
        <v>50</v>
      </c>
      <c r="E11" s="39">
        <v>120</v>
      </c>
      <c r="F11" s="37"/>
      <c r="G11" s="37"/>
      <c r="H11" s="37"/>
    </row>
    <row r="12" spans="1:8" ht="15" customHeight="1" x14ac:dyDescent="0.25">
      <c r="A12" s="40" t="s">
        <v>298</v>
      </c>
      <c r="B12" s="41" t="s">
        <v>54</v>
      </c>
      <c r="C12" s="40"/>
      <c r="D12" s="40" t="s">
        <v>50</v>
      </c>
      <c r="E12" s="42">
        <v>288</v>
      </c>
      <c r="F12" s="40"/>
      <c r="G12" s="40"/>
      <c r="H12" s="40"/>
    </row>
    <row r="13" spans="1:8" ht="15" customHeight="1" x14ac:dyDescent="0.25">
      <c r="A13" s="37" t="s">
        <v>298</v>
      </c>
      <c r="B13" s="38" t="s">
        <v>55</v>
      </c>
      <c r="C13" s="37"/>
      <c r="D13" s="37" t="s">
        <v>50</v>
      </c>
      <c r="E13" s="39">
        <v>135</v>
      </c>
      <c r="F13" s="37"/>
      <c r="G13" s="37"/>
      <c r="H13" s="37"/>
    </row>
    <row r="14" spans="1:8" ht="15" customHeight="1" x14ac:dyDescent="0.25">
      <c r="A14" s="40" t="s">
        <v>298</v>
      </c>
      <c r="B14" s="40" t="s">
        <v>126</v>
      </c>
      <c r="C14" s="31"/>
      <c r="D14" s="40" t="s">
        <v>50</v>
      </c>
      <c r="E14" s="107">
        <f>'💳 Empréstimo'!F44</f>
        <v>560</v>
      </c>
      <c r="F14" s="31"/>
      <c r="G14" s="40" t="s">
        <v>299</v>
      </c>
      <c r="H14" s="31"/>
    </row>
    <row r="15" spans="1:8" ht="15" customHeight="1" x14ac:dyDescent="0.25">
      <c r="A15" s="31"/>
      <c r="B15" s="31"/>
      <c r="C15" s="31"/>
      <c r="D15" s="31"/>
      <c r="E15" s="29"/>
      <c r="F15" s="31"/>
      <c r="G15" s="31"/>
      <c r="H15" s="31"/>
    </row>
    <row r="16" spans="1:8" ht="15" customHeight="1" x14ac:dyDescent="0.25">
      <c r="A16" s="31"/>
      <c r="B16" s="31"/>
      <c r="C16" s="31"/>
      <c r="D16" s="31"/>
      <c r="E16" s="29"/>
      <c r="F16" s="31"/>
      <c r="G16" s="31"/>
      <c r="H16" s="31"/>
    </row>
    <row r="17" spans="1:8" ht="15" customHeight="1" x14ac:dyDescent="0.25">
      <c r="A17" s="155" t="s">
        <v>56</v>
      </c>
      <c r="B17" s="152"/>
      <c r="C17" s="152"/>
      <c r="D17" s="153"/>
      <c r="E17" s="43">
        <f>SUM(E7:E16)</f>
        <v>1730</v>
      </c>
      <c r="F17" s="44"/>
      <c r="G17" s="44"/>
      <c r="H17" s="44"/>
    </row>
    <row r="18" spans="1:8" ht="15" customHeight="1" x14ac:dyDescent="0.25">
      <c r="A18" s="156" t="s">
        <v>57</v>
      </c>
      <c r="B18" s="152"/>
      <c r="C18" s="152"/>
      <c r="D18" s="153"/>
      <c r="E18" s="45">
        <v>1350</v>
      </c>
      <c r="F18" s="44"/>
      <c r="G18" s="44"/>
      <c r="H18" s="44"/>
    </row>
    <row r="19" spans="1:8" ht="15" customHeight="1" x14ac:dyDescent="0.25">
      <c r="A19" s="157" t="s">
        <v>58</v>
      </c>
      <c r="B19" s="152"/>
      <c r="C19" s="152"/>
      <c r="D19" s="153"/>
      <c r="E19" s="46">
        <f>E17+E18</f>
        <v>3080</v>
      </c>
      <c r="F19" s="47"/>
      <c r="G19" s="47"/>
      <c r="H19" s="47"/>
    </row>
    <row r="20" spans="1:8" ht="14.25" customHeight="1" x14ac:dyDescent="0.25">
      <c r="A20" s="17"/>
      <c r="B20" s="17"/>
      <c r="C20" s="17"/>
      <c r="D20" s="17"/>
      <c r="E20" s="17"/>
      <c r="F20" s="17"/>
      <c r="G20" s="17"/>
      <c r="H20" s="17"/>
    </row>
    <row r="21" spans="1:8" ht="19.5" customHeight="1" x14ac:dyDescent="0.25">
      <c r="A21" s="158" t="s">
        <v>300</v>
      </c>
      <c r="B21" s="146"/>
      <c r="C21" s="146"/>
      <c r="D21" s="146"/>
      <c r="E21" s="146"/>
      <c r="F21" s="146"/>
      <c r="G21" s="146"/>
      <c r="H21" s="147"/>
    </row>
    <row r="22" spans="1:8" ht="15" customHeight="1" x14ac:dyDescent="0.25">
      <c r="A22" s="48" t="s">
        <v>22</v>
      </c>
      <c r="B22" s="48" t="s">
        <v>39</v>
      </c>
      <c r="C22" s="48" t="s">
        <v>40</v>
      </c>
      <c r="D22" s="48" t="s">
        <v>41</v>
      </c>
      <c r="E22" s="48" t="s">
        <v>42</v>
      </c>
      <c r="F22" s="48" t="s">
        <v>60</v>
      </c>
      <c r="G22" s="48" t="s">
        <v>44</v>
      </c>
      <c r="H22" s="48"/>
    </row>
    <row r="23" spans="1:8" ht="15" customHeight="1" x14ac:dyDescent="0.25">
      <c r="A23" s="49" t="s">
        <v>298</v>
      </c>
      <c r="B23" s="50" t="s">
        <v>61</v>
      </c>
      <c r="C23" s="49" t="s">
        <v>62</v>
      </c>
      <c r="D23" s="49" t="s">
        <v>50</v>
      </c>
      <c r="E23" s="51">
        <v>1475</v>
      </c>
      <c r="F23" s="49"/>
      <c r="G23" s="49"/>
      <c r="H23" s="49"/>
    </row>
    <row r="24" spans="1:8" ht="15" customHeight="1" x14ac:dyDescent="0.25">
      <c r="A24" s="52" t="s">
        <v>298</v>
      </c>
      <c r="B24" s="53" t="s">
        <v>63</v>
      </c>
      <c r="C24" s="52" t="s">
        <v>62</v>
      </c>
      <c r="D24" s="52" t="s">
        <v>50</v>
      </c>
      <c r="E24" s="54">
        <v>1300</v>
      </c>
      <c r="F24" s="52"/>
      <c r="G24" s="52"/>
      <c r="H24" s="52"/>
    </row>
    <row r="25" spans="1:8" ht="15" customHeight="1" x14ac:dyDescent="0.25">
      <c r="A25" s="49" t="s">
        <v>298</v>
      </c>
      <c r="B25" s="50" t="s">
        <v>64</v>
      </c>
      <c r="C25" s="49" t="s">
        <v>62</v>
      </c>
      <c r="D25" s="49" t="s">
        <v>50</v>
      </c>
      <c r="E25" s="51">
        <v>1500</v>
      </c>
      <c r="F25" s="49"/>
      <c r="G25" s="49"/>
      <c r="H25" s="49"/>
    </row>
    <row r="26" spans="1:8" ht="15" customHeight="1" x14ac:dyDescent="0.25">
      <c r="A26" s="52"/>
      <c r="B26" s="53"/>
      <c r="C26" s="52"/>
      <c r="D26" s="52"/>
      <c r="E26" s="54"/>
      <c r="F26" s="52"/>
      <c r="G26" s="52"/>
      <c r="H26" s="52"/>
    </row>
    <row r="27" spans="1:8" ht="15" customHeight="1" x14ac:dyDescent="0.25">
      <c r="A27" s="55"/>
      <c r="B27" s="55"/>
      <c r="C27" s="55"/>
      <c r="D27" s="55"/>
      <c r="E27" s="56"/>
      <c r="F27" s="55"/>
      <c r="G27" s="55"/>
      <c r="H27" s="55"/>
    </row>
    <row r="28" spans="1:8" ht="15" customHeight="1" x14ac:dyDescent="0.25">
      <c r="A28" s="55"/>
      <c r="B28" s="55"/>
      <c r="C28" s="55"/>
      <c r="D28" s="55"/>
      <c r="E28" s="56"/>
      <c r="F28" s="55"/>
      <c r="G28" s="55"/>
      <c r="H28" s="55"/>
    </row>
    <row r="29" spans="1:8" ht="15" customHeight="1" x14ac:dyDescent="0.25">
      <c r="A29" s="157" t="s">
        <v>66</v>
      </c>
      <c r="B29" s="152"/>
      <c r="C29" s="152"/>
      <c r="D29" s="153"/>
      <c r="E29" s="46">
        <f>SUM(E23:E28)</f>
        <v>4275</v>
      </c>
      <c r="F29" s="47"/>
      <c r="G29" s="47"/>
      <c r="H29" s="47"/>
    </row>
    <row r="30" spans="1:8" ht="15.75" customHeight="1" x14ac:dyDescent="0.25">
      <c r="A30" s="17"/>
      <c r="B30" s="17"/>
      <c r="C30" s="17"/>
      <c r="D30" s="17"/>
      <c r="E30" s="17"/>
      <c r="F30" s="17"/>
      <c r="G30" s="17"/>
      <c r="H30" s="17"/>
    </row>
    <row r="31" spans="1:8" ht="19.5" customHeight="1" x14ac:dyDescent="0.25">
      <c r="A31" s="159" t="s">
        <v>67</v>
      </c>
      <c r="B31" s="146"/>
      <c r="C31" s="146"/>
      <c r="D31" s="146"/>
      <c r="E31" s="146"/>
      <c r="F31" s="146"/>
      <c r="G31" s="146"/>
      <c r="H31" s="147"/>
    </row>
    <row r="32" spans="1:8" ht="15" customHeight="1" x14ac:dyDescent="0.25">
      <c r="A32" s="151" t="s">
        <v>68</v>
      </c>
      <c r="B32" s="152"/>
      <c r="C32" s="152"/>
      <c r="D32" s="153"/>
      <c r="E32" s="57">
        <f>E29-E19</f>
        <v>1195</v>
      </c>
      <c r="F32" s="58"/>
      <c r="G32" s="58"/>
      <c r="H32" s="58"/>
    </row>
    <row r="33" spans="1:8" ht="15" customHeight="1" x14ac:dyDescent="0.25">
      <c r="A33" s="151" t="s">
        <v>76</v>
      </c>
      <c r="B33" s="152"/>
      <c r="C33" s="152"/>
      <c r="D33" s="153"/>
      <c r="E33" s="57">
        <f>0.7*(E29-E19)</f>
        <v>836.5</v>
      </c>
      <c r="F33" s="58"/>
      <c r="G33" s="58"/>
      <c r="H33" s="58"/>
    </row>
    <row r="34" spans="1:8" ht="15" customHeight="1" x14ac:dyDescent="0.25">
      <c r="A34" s="151" t="s">
        <v>70</v>
      </c>
      <c r="B34" s="152"/>
      <c r="C34" s="152"/>
      <c r="D34" s="153"/>
      <c r="E34" s="57">
        <f>E19/6</f>
        <v>513.33333333333337</v>
      </c>
      <c r="F34" s="58"/>
      <c r="G34" s="58"/>
      <c r="H34" s="58"/>
    </row>
    <row r="35" spans="1:8" ht="15.75" customHeight="1" x14ac:dyDescent="0.25">
      <c r="A35" s="17"/>
      <c r="B35" s="17"/>
      <c r="C35" s="17"/>
      <c r="D35" s="17"/>
      <c r="E35" s="17"/>
      <c r="F35" s="17"/>
      <c r="G35" s="17"/>
      <c r="H35" s="17"/>
    </row>
    <row r="36" spans="1:8" ht="15.75" customHeight="1" x14ac:dyDescent="0.25">
      <c r="A36" s="17"/>
      <c r="B36" s="17"/>
      <c r="C36" s="17"/>
      <c r="D36" s="17"/>
      <c r="E36" s="17"/>
      <c r="F36" s="17"/>
      <c r="G36" s="17"/>
      <c r="H36" s="17"/>
    </row>
    <row r="37" spans="1:8" ht="15.75" customHeight="1" x14ac:dyDescent="0.25">
      <c r="A37" s="17"/>
      <c r="B37" s="17"/>
      <c r="C37" s="17"/>
      <c r="D37" s="17"/>
      <c r="E37" s="17"/>
      <c r="F37" s="17"/>
      <c r="G37" s="17"/>
      <c r="H37" s="17"/>
    </row>
    <row r="38" spans="1:8" ht="15.75" customHeight="1" x14ac:dyDescent="0.25">
      <c r="A38" s="17"/>
      <c r="B38" s="17"/>
      <c r="C38" s="17"/>
      <c r="D38" s="17"/>
      <c r="E38" s="17"/>
      <c r="F38" s="17"/>
      <c r="G38" s="17"/>
      <c r="H38" s="17"/>
    </row>
    <row r="39" spans="1:8" ht="15.75" customHeight="1" x14ac:dyDescent="0.25">
      <c r="A39" s="17"/>
      <c r="B39" s="17"/>
      <c r="C39" s="17"/>
      <c r="D39" s="17"/>
      <c r="E39" s="17"/>
      <c r="F39" s="17"/>
      <c r="G39" s="17"/>
      <c r="H39" s="17"/>
    </row>
    <row r="40" spans="1:8" ht="15.75" customHeight="1" x14ac:dyDescent="0.25">
      <c r="A40" s="17"/>
      <c r="B40" s="17"/>
      <c r="C40" s="17"/>
      <c r="D40" s="17"/>
      <c r="E40" s="17"/>
      <c r="F40" s="17"/>
      <c r="G40" s="17"/>
      <c r="H40" s="17"/>
    </row>
    <row r="41" spans="1:8" ht="15.75" customHeight="1" x14ac:dyDescent="0.25">
      <c r="A41" s="17"/>
      <c r="B41" s="17"/>
      <c r="C41" s="17"/>
      <c r="D41" s="17"/>
      <c r="E41" s="17"/>
      <c r="F41" s="17"/>
      <c r="G41" s="17"/>
      <c r="H41" s="17"/>
    </row>
    <row r="42" spans="1:8" ht="15.75" customHeight="1" x14ac:dyDescent="0.25">
      <c r="A42" s="17"/>
      <c r="B42" s="17"/>
      <c r="C42" s="17"/>
      <c r="D42" s="17"/>
      <c r="E42" s="17"/>
      <c r="F42" s="17"/>
      <c r="G42" s="17"/>
      <c r="H42" s="17"/>
    </row>
    <row r="43" spans="1:8" ht="15.75" customHeight="1" x14ac:dyDescent="0.25">
      <c r="A43" s="17"/>
      <c r="B43" s="17"/>
      <c r="C43" s="17"/>
      <c r="D43" s="17"/>
      <c r="E43" s="17"/>
      <c r="F43" s="17"/>
      <c r="G43" s="17"/>
      <c r="H43" s="17"/>
    </row>
    <row r="44" spans="1:8" ht="15.75" customHeight="1" x14ac:dyDescent="0.25">
      <c r="A44" s="17"/>
      <c r="B44" s="17"/>
      <c r="C44" s="17"/>
      <c r="D44" s="17"/>
      <c r="E44" s="17"/>
      <c r="F44" s="17"/>
      <c r="G44" s="17"/>
      <c r="H44" s="17"/>
    </row>
    <row r="45" spans="1:8" ht="15.75" customHeight="1" x14ac:dyDescent="0.25">
      <c r="A45" s="17"/>
      <c r="B45" s="17"/>
      <c r="C45" s="17"/>
      <c r="D45" s="17"/>
      <c r="E45" s="17"/>
      <c r="F45" s="17"/>
      <c r="G45" s="17"/>
      <c r="H45" s="17"/>
    </row>
    <row r="46" spans="1:8" ht="15.75" customHeight="1" x14ac:dyDescent="0.25">
      <c r="A46" s="17"/>
      <c r="B46" s="17"/>
      <c r="C46" s="17"/>
      <c r="D46" s="17"/>
      <c r="E46" s="17"/>
      <c r="F46" s="17"/>
      <c r="G46" s="17"/>
      <c r="H46" s="17"/>
    </row>
    <row r="47" spans="1:8" ht="15.75" customHeight="1" x14ac:dyDescent="0.25">
      <c r="A47" s="17"/>
      <c r="B47" s="17"/>
      <c r="C47" s="17"/>
      <c r="D47" s="17"/>
      <c r="E47" s="17"/>
      <c r="F47" s="17"/>
      <c r="G47" s="17"/>
      <c r="H47" s="17"/>
    </row>
    <row r="48" spans="1:8" ht="15.75" customHeight="1" x14ac:dyDescent="0.25">
      <c r="A48" s="17"/>
      <c r="B48" s="17"/>
      <c r="C48" s="17"/>
      <c r="D48" s="17"/>
      <c r="E48" s="17"/>
      <c r="F48" s="17"/>
      <c r="G48" s="17"/>
      <c r="H48" s="17"/>
    </row>
    <row r="49" spans="1:8" ht="15.75" customHeight="1" x14ac:dyDescent="0.25">
      <c r="A49" s="17"/>
      <c r="B49" s="17"/>
      <c r="C49" s="17"/>
      <c r="D49" s="17"/>
      <c r="E49" s="17"/>
      <c r="F49" s="17"/>
      <c r="G49" s="17"/>
      <c r="H49" s="17"/>
    </row>
    <row r="50" spans="1:8" ht="15.75" customHeight="1" x14ac:dyDescent="0.25">
      <c r="A50" s="17"/>
      <c r="B50" s="17"/>
      <c r="C50" s="17"/>
      <c r="D50" s="17"/>
      <c r="E50" s="17"/>
      <c r="F50" s="17"/>
      <c r="G50" s="17"/>
      <c r="H50" s="17"/>
    </row>
    <row r="51" spans="1:8" ht="15.75" customHeight="1" x14ac:dyDescent="0.25">
      <c r="A51" s="17"/>
      <c r="B51" s="17"/>
      <c r="C51" s="17"/>
      <c r="D51" s="17"/>
      <c r="E51" s="17"/>
      <c r="F51" s="17"/>
      <c r="G51" s="17"/>
      <c r="H51" s="17"/>
    </row>
    <row r="52" spans="1:8" ht="15.75" customHeight="1" x14ac:dyDescent="0.25">
      <c r="A52" s="17"/>
      <c r="B52" s="17"/>
      <c r="C52" s="17"/>
      <c r="D52" s="17"/>
      <c r="E52" s="17"/>
      <c r="F52" s="17"/>
      <c r="G52" s="17"/>
      <c r="H52" s="17"/>
    </row>
    <row r="53" spans="1:8" ht="15.75" customHeight="1" x14ac:dyDescent="0.25">
      <c r="A53" s="17"/>
      <c r="B53" s="17"/>
      <c r="C53" s="17"/>
      <c r="D53" s="17"/>
      <c r="E53" s="17"/>
      <c r="F53" s="17"/>
      <c r="G53" s="17"/>
      <c r="H53" s="17"/>
    </row>
    <row r="54" spans="1:8" ht="15.75" customHeight="1" x14ac:dyDescent="0.25">
      <c r="A54" s="17"/>
      <c r="B54" s="17"/>
      <c r="C54" s="17"/>
      <c r="D54" s="17"/>
      <c r="E54" s="17"/>
      <c r="F54" s="17"/>
      <c r="G54" s="17"/>
      <c r="H54" s="17"/>
    </row>
    <row r="55" spans="1:8" ht="15.75" customHeight="1" x14ac:dyDescent="0.25">
      <c r="A55" s="17"/>
      <c r="B55" s="17"/>
      <c r="C55" s="17"/>
      <c r="D55" s="17"/>
      <c r="E55" s="17"/>
      <c r="F55" s="17"/>
      <c r="G55" s="17"/>
      <c r="H55" s="17"/>
    </row>
    <row r="56" spans="1:8" ht="15.75" customHeight="1" x14ac:dyDescent="0.25">
      <c r="A56" s="17"/>
      <c r="B56" s="17"/>
      <c r="C56" s="17"/>
      <c r="D56" s="17"/>
      <c r="E56" s="17"/>
      <c r="F56" s="17"/>
      <c r="G56" s="17"/>
      <c r="H56" s="17"/>
    </row>
    <row r="57" spans="1:8" ht="15.75" customHeight="1" x14ac:dyDescent="0.25">
      <c r="A57" s="17"/>
      <c r="B57" s="17"/>
      <c r="C57" s="17"/>
      <c r="D57" s="17"/>
      <c r="E57" s="17"/>
      <c r="F57" s="17"/>
      <c r="G57" s="17"/>
      <c r="H57" s="17"/>
    </row>
    <row r="58" spans="1:8" ht="15.75" customHeight="1" x14ac:dyDescent="0.25">
      <c r="A58" s="17"/>
      <c r="B58" s="17"/>
      <c r="C58" s="17"/>
      <c r="D58" s="17"/>
      <c r="E58" s="17"/>
      <c r="F58" s="17"/>
      <c r="G58" s="17"/>
      <c r="H58" s="17"/>
    </row>
    <row r="59" spans="1:8" ht="15.75" customHeight="1" x14ac:dyDescent="0.25">
      <c r="A59" s="17"/>
      <c r="B59" s="17"/>
      <c r="C59" s="17"/>
      <c r="D59" s="17"/>
      <c r="E59" s="17"/>
      <c r="F59" s="17"/>
      <c r="G59" s="17"/>
      <c r="H59" s="17"/>
    </row>
    <row r="60" spans="1:8" ht="15.75" customHeight="1" x14ac:dyDescent="0.25">
      <c r="A60" s="17"/>
      <c r="B60" s="17"/>
      <c r="C60" s="17"/>
      <c r="D60" s="17"/>
      <c r="E60" s="17"/>
      <c r="F60" s="17"/>
      <c r="G60" s="17"/>
      <c r="H60" s="17"/>
    </row>
    <row r="61" spans="1:8" ht="15.75" customHeight="1" x14ac:dyDescent="0.25">
      <c r="A61" s="17"/>
      <c r="B61" s="17"/>
      <c r="C61" s="17"/>
      <c r="D61" s="17"/>
      <c r="E61" s="17"/>
      <c r="F61" s="17"/>
      <c r="G61" s="17"/>
      <c r="H61" s="17"/>
    </row>
    <row r="62" spans="1:8" ht="15.75" customHeight="1" x14ac:dyDescent="0.25">
      <c r="A62" s="17"/>
      <c r="B62" s="17"/>
      <c r="C62" s="17"/>
      <c r="D62" s="17"/>
      <c r="E62" s="17"/>
      <c r="F62" s="17"/>
      <c r="G62" s="17"/>
      <c r="H62" s="17"/>
    </row>
    <row r="63" spans="1:8" ht="15.75" customHeight="1" x14ac:dyDescent="0.25">
      <c r="A63" s="17"/>
      <c r="B63" s="17"/>
      <c r="C63" s="17"/>
      <c r="D63" s="17"/>
      <c r="E63" s="17"/>
      <c r="F63" s="17"/>
      <c r="G63" s="17"/>
      <c r="H63" s="17"/>
    </row>
    <row r="64" spans="1:8" ht="15.75" customHeight="1" x14ac:dyDescent="0.25">
      <c r="A64" s="17"/>
      <c r="B64" s="17"/>
      <c r="C64" s="17"/>
      <c r="D64" s="17"/>
      <c r="E64" s="17"/>
      <c r="F64" s="17"/>
      <c r="G64" s="17"/>
      <c r="H64" s="17"/>
    </row>
    <row r="65" spans="1:8" ht="15.75" customHeight="1" x14ac:dyDescent="0.25">
      <c r="A65" s="17"/>
      <c r="B65" s="17"/>
      <c r="C65" s="17"/>
      <c r="D65" s="17"/>
      <c r="E65" s="17"/>
      <c r="F65" s="17"/>
      <c r="G65" s="17"/>
      <c r="H65" s="17"/>
    </row>
    <row r="66" spans="1:8" ht="15.75" customHeight="1" x14ac:dyDescent="0.25">
      <c r="A66" s="17"/>
      <c r="B66" s="17"/>
      <c r="C66" s="17"/>
      <c r="D66" s="17"/>
      <c r="E66" s="17"/>
      <c r="F66" s="17"/>
      <c r="G66" s="17"/>
      <c r="H66" s="17"/>
    </row>
    <row r="67" spans="1:8" ht="15.75" customHeight="1" x14ac:dyDescent="0.25">
      <c r="A67" s="17"/>
      <c r="B67" s="17"/>
      <c r="C67" s="17"/>
      <c r="D67" s="17"/>
      <c r="E67" s="17"/>
      <c r="F67" s="17"/>
      <c r="G67" s="17"/>
      <c r="H67" s="17"/>
    </row>
    <row r="68" spans="1:8" ht="15.75" customHeight="1" x14ac:dyDescent="0.25">
      <c r="A68" s="17"/>
      <c r="B68" s="17"/>
      <c r="C68" s="17"/>
      <c r="D68" s="17"/>
      <c r="E68" s="17"/>
      <c r="F68" s="17"/>
      <c r="G68" s="17"/>
      <c r="H68" s="17"/>
    </row>
    <row r="69" spans="1:8" ht="15.75" customHeight="1" x14ac:dyDescent="0.25">
      <c r="A69" s="17"/>
      <c r="B69" s="17"/>
      <c r="C69" s="17"/>
      <c r="D69" s="17"/>
      <c r="E69" s="17"/>
      <c r="F69" s="17"/>
      <c r="G69" s="17"/>
      <c r="H69" s="17"/>
    </row>
    <row r="70" spans="1:8" ht="15.75" customHeight="1" x14ac:dyDescent="0.25">
      <c r="A70" s="17"/>
      <c r="B70" s="17"/>
      <c r="C70" s="17"/>
      <c r="D70" s="17"/>
      <c r="E70" s="17"/>
      <c r="F70" s="17"/>
      <c r="G70" s="17"/>
      <c r="H70" s="17"/>
    </row>
    <row r="71" spans="1:8" ht="15.75" customHeight="1" x14ac:dyDescent="0.25">
      <c r="A71" s="17"/>
      <c r="B71" s="17"/>
      <c r="C71" s="17"/>
      <c r="D71" s="17"/>
      <c r="E71" s="17"/>
      <c r="F71" s="17"/>
      <c r="G71" s="17"/>
      <c r="H71" s="17"/>
    </row>
    <row r="72" spans="1:8" ht="15.75" customHeight="1" x14ac:dyDescent="0.25">
      <c r="A72" s="17"/>
      <c r="B72" s="17"/>
      <c r="C72" s="17"/>
      <c r="D72" s="17"/>
      <c r="E72" s="17"/>
      <c r="F72" s="17"/>
      <c r="G72" s="17"/>
      <c r="H72" s="17"/>
    </row>
    <row r="73" spans="1:8" ht="15.75" customHeight="1" x14ac:dyDescent="0.25">
      <c r="A73" s="17"/>
      <c r="B73" s="17"/>
      <c r="C73" s="17"/>
      <c r="D73" s="17"/>
      <c r="E73" s="17"/>
      <c r="F73" s="17"/>
      <c r="G73" s="17"/>
      <c r="H73" s="17"/>
    </row>
    <row r="74" spans="1:8" ht="15.75" customHeight="1" x14ac:dyDescent="0.25">
      <c r="A74" s="17"/>
      <c r="B74" s="17"/>
      <c r="C74" s="17"/>
      <c r="D74" s="17"/>
      <c r="E74" s="17"/>
      <c r="F74" s="17"/>
      <c r="G74" s="17"/>
      <c r="H74" s="17"/>
    </row>
    <row r="75" spans="1:8" ht="15.75" customHeight="1" x14ac:dyDescent="0.25">
      <c r="A75" s="17"/>
      <c r="B75" s="17"/>
      <c r="C75" s="17"/>
      <c r="D75" s="17"/>
      <c r="E75" s="17"/>
      <c r="F75" s="17"/>
      <c r="G75" s="17"/>
      <c r="H75" s="17"/>
    </row>
    <row r="76" spans="1:8" ht="15.75" customHeight="1" x14ac:dyDescent="0.25">
      <c r="A76" s="17"/>
      <c r="B76" s="17"/>
      <c r="C76" s="17"/>
      <c r="D76" s="17"/>
      <c r="E76" s="17"/>
      <c r="F76" s="17"/>
      <c r="G76" s="17"/>
      <c r="H76" s="17"/>
    </row>
    <row r="77" spans="1:8" ht="15.75" customHeight="1" x14ac:dyDescent="0.25">
      <c r="A77" s="17"/>
      <c r="B77" s="17"/>
      <c r="C77" s="17"/>
      <c r="D77" s="17"/>
      <c r="E77" s="17"/>
      <c r="F77" s="17"/>
      <c r="G77" s="17"/>
      <c r="H77" s="17"/>
    </row>
    <row r="78" spans="1:8" ht="15.75" customHeight="1" x14ac:dyDescent="0.25">
      <c r="A78" s="17"/>
      <c r="B78" s="17"/>
      <c r="C78" s="17"/>
      <c r="D78" s="17"/>
      <c r="E78" s="17"/>
      <c r="F78" s="17"/>
      <c r="G78" s="17"/>
      <c r="H78" s="17"/>
    </row>
    <row r="79" spans="1:8" ht="15.75" customHeight="1" x14ac:dyDescent="0.25">
      <c r="A79" s="17"/>
      <c r="B79" s="17"/>
      <c r="C79" s="17"/>
      <c r="D79" s="17"/>
      <c r="E79" s="17"/>
      <c r="F79" s="17"/>
      <c r="G79" s="17"/>
      <c r="H79" s="17"/>
    </row>
    <row r="80" spans="1:8" ht="15.75" customHeight="1" x14ac:dyDescent="0.25">
      <c r="A80" s="17"/>
      <c r="B80" s="17"/>
      <c r="C80" s="17"/>
      <c r="D80" s="17"/>
      <c r="E80" s="17"/>
      <c r="F80" s="17"/>
      <c r="G80" s="17"/>
      <c r="H80" s="17"/>
    </row>
    <row r="81" spans="1:8" ht="15.75" customHeight="1" x14ac:dyDescent="0.25">
      <c r="A81" s="17"/>
      <c r="B81" s="17"/>
      <c r="C81" s="17"/>
      <c r="D81" s="17"/>
      <c r="E81" s="17"/>
      <c r="F81" s="17"/>
      <c r="G81" s="17"/>
      <c r="H81" s="17"/>
    </row>
    <row r="82" spans="1:8" ht="15.75" customHeight="1" x14ac:dyDescent="0.25">
      <c r="A82" s="17"/>
      <c r="B82" s="17"/>
      <c r="C82" s="17"/>
      <c r="D82" s="17"/>
      <c r="E82" s="17"/>
      <c r="F82" s="17"/>
      <c r="G82" s="17"/>
      <c r="H82" s="17"/>
    </row>
    <row r="83" spans="1:8" ht="15.75" customHeight="1" x14ac:dyDescent="0.25">
      <c r="A83" s="17"/>
      <c r="B83" s="17"/>
      <c r="C83" s="17"/>
      <c r="D83" s="17"/>
      <c r="E83" s="17"/>
      <c r="F83" s="17"/>
      <c r="G83" s="17"/>
      <c r="H83" s="17"/>
    </row>
    <row r="84" spans="1:8" ht="15.75" customHeight="1" x14ac:dyDescent="0.25">
      <c r="A84" s="17"/>
      <c r="B84" s="17"/>
      <c r="C84" s="17"/>
      <c r="D84" s="17"/>
      <c r="E84" s="17"/>
      <c r="F84" s="17"/>
      <c r="G84" s="17"/>
      <c r="H84" s="17"/>
    </row>
    <row r="85" spans="1:8" ht="15.75" customHeight="1" x14ac:dyDescent="0.25">
      <c r="A85" s="17"/>
      <c r="B85" s="17"/>
      <c r="C85" s="17"/>
      <c r="D85" s="17"/>
      <c r="E85" s="17"/>
      <c r="F85" s="17"/>
      <c r="G85" s="17"/>
      <c r="H85" s="17"/>
    </row>
    <row r="86" spans="1:8" ht="15.75" customHeight="1" x14ac:dyDescent="0.25">
      <c r="A86" s="17"/>
      <c r="B86" s="17"/>
      <c r="C86" s="17"/>
      <c r="D86" s="17"/>
      <c r="E86" s="17"/>
      <c r="F86" s="17"/>
      <c r="G86" s="17"/>
      <c r="H86" s="17"/>
    </row>
    <row r="87" spans="1:8" ht="15.75" customHeight="1" x14ac:dyDescent="0.25">
      <c r="A87" s="17"/>
      <c r="B87" s="17"/>
      <c r="C87" s="17"/>
      <c r="D87" s="17"/>
      <c r="E87" s="17"/>
      <c r="F87" s="17"/>
      <c r="G87" s="17"/>
      <c r="H87" s="17"/>
    </row>
    <row r="88" spans="1:8" ht="15.75" customHeight="1" x14ac:dyDescent="0.25">
      <c r="A88" s="17"/>
      <c r="B88" s="17"/>
      <c r="C88" s="17"/>
      <c r="D88" s="17"/>
      <c r="E88" s="17"/>
      <c r="F88" s="17"/>
      <c r="G88" s="17"/>
      <c r="H88" s="17"/>
    </row>
    <row r="89" spans="1:8" ht="15.75" customHeight="1" x14ac:dyDescent="0.25">
      <c r="A89" s="17"/>
      <c r="B89" s="17"/>
      <c r="C89" s="17"/>
      <c r="D89" s="17"/>
      <c r="E89" s="17"/>
      <c r="F89" s="17"/>
      <c r="G89" s="17"/>
      <c r="H89" s="17"/>
    </row>
    <row r="90" spans="1:8" ht="15.75" customHeight="1" x14ac:dyDescent="0.25">
      <c r="A90" s="17"/>
      <c r="B90" s="17"/>
      <c r="C90" s="17"/>
      <c r="D90" s="17"/>
      <c r="E90" s="17"/>
      <c r="F90" s="17"/>
      <c r="G90" s="17"/>
      <c r="H90" s="17"/>
    </row>
    <row r="91" spans="1:8" ht="15.75" customHeight="1" x14ac:dyDescent="0.25">
      <c r="A91" s="17"/>
      <c r="B91" s="17"/>
      <c r="C91" s="17"/>
      <c r="D91" s="17"/>
      <c r="E91" s="17"/>
      <c r="F91" s="17"/>
      <c r="G91" s="17"/>
      <c r="H91" s="17"/>
    </row>
    <row r="92" spans="1:8" ht="15.75" customHeight="1" x14ac:dyDescent="0.25">
      <c r="A92" s="17"/>
      <c r="B92" s="17"/>
      <c r="C92" s="17"/>
      <c r="D92" s="17"/>
      <c r="E92" s="17"/>
      <c r="F92" s="17"/>
      <c r="G92" s="17"/>
      <c r="H92" s="17"/>
    </row>
    <row r="93" spans="1:8" ht="15.75" customHeight="1" x14ac:dyDescent="0.25">
      <c r="A93" s="17"/>
      <c r="B93" s="17"/>
      <c r="C93" s="17"/>
      <c r="D93" s="17"/>
      <c r="E93" s="17"/>
      <c r="F93" s="17"/>
      <c r="G93" s="17"/>
      <c r="H93" s="17"/>
    </row>
    <row r="94" spans="1:8" ht="15.75" customHeight="1" x14ac:dyDescent="0.25">
      <c r="A94" s="17"/>
      <c r="B94" s="17"/>
      <c r="C94" s="17"/>
      <c r="D94" s="17"/>
      <c r="E94" s="17"/>
      <c r="F94" s="17"/>
      <c r="G94" s="17"/>
      <c r="H94" s="17"/>
    </row>
    <row r="95" spans="1:8" ht="15.75" customHeight="1" x14ac:dyDescent="0.25">
      <c r="A95" s="17"/>
      <c r="B95" s="17"/>
      <c r="C95" s="17"/>
      <c r="D95" s="17"/>
      <c r="E95" s="17"/>
      <c r="F95" s="17"/>
      <c r="G95" s="17"/>
      <c r="H95" s="17"/>
    </row>
    <row r="96" spans="1:8" ht="15.75" customHeight="1" x14ac:dyDescent="0.25">
      <c r="A96" s="17"/>
      <c r="B96" s="17"/>
      <c r="C96" s="17"/>
      <c r="D96" s="17"/>
      <c r="E96" s="17"/>
      <c r="F96" s="17"/>
      <c r="G96" s="17"/>
      <c r="H96" s="17"/>
    </row>
    <row r="97" spans="1:8" ht="15.75" customHeight="1" x14ac:dyDescent="0.25">
      <c r="A97" s="17"/>
      <c r="B97" s="17"/>
      <c r="C97" s="17"/>
      <c r="D97" s="17"/>
      <c r="E97" s="17"/>
      <c r="F97" s="17"/>
      <c r="G97" s="17"/>
      <c r="H97" s="17"/>
    </row>
    <row r="98" spans="1:8" ht="15.75" customHeight="1" x14ac:dyDescent="0.25">
      <c r="A98" s="17"/>
      <c r="B98" s="17"/>
      <c r="C98" s="17"/>
      <c r="D98" s="17"/>
      <c r="E98" s="17"/>
      <c r="F98" s="17"/>
      <c r="G98" s="17"/>
      <c r="H98" s="17"/>
    </row>
    <row r="99" spans="1:8" ht="15.75" customHeight="1" x14ac:dyDescent="0.25">
      <c r="A99" s="17"/>
      <c r="B99" s="17"/>
      <c r="C99" s="17"/>
      <c r="D99" s="17"/>
      <c r="E99" s="17"/>
      <c r="F99" s="17"/>
      <c r="G99" s="17"/>
      <c r="H99" s="17"/>
    </row>
    <row r="100" spans="1:8" ht="15.75" customHeight="1" x14ac:dyDescent="0.25">
      <c r="A100" s="17"/>
      <c r="B100" s="17"/>
      <c r="C100" s="17"/>
      <c r="D100" s="17"/>
      <c r="E100" s="17"/>
      <c r="F100" s="17"/>
      <c r="G100" s="17"/>
      <c r="H100" s="17"/>
    </row>
  </sheetData>
  <mergeCells count="19">
    <mergeCell ref="A1:H1"/>
    <mergeCell ref="A2:B2"/>
    <mergeCell ref="C2:D2"/>
    <mergeCell ref="E2:F2"/>
    <mergeCell ref="G2:H2"/>
    <mergeCell ref="A5:H5"/>
    <mergeCell ref="A32:D32"/>
    <mergeCell ref="A33:D33"/>
    <mergeCell ref="A34:D34"/>
    <mergeCell ref="C3:D3"/>
    <mergeCell ref="A17:D17"/>
    <mergeCell ref="A18:D18"/>
    <mergeCell ref="A19:D19"/>
    <mergeCell ref="A21:H21"/>
    <mergeCell ref="A29:D29"/>
    <mergeCell ref="A31:H31"/>
    <mergeCell ref="E3:F3"/>
    <mergeCell ref="G3:H3"/>
    <mergeCell ref="A3:B3"/>
  </mergeCells>
  <pageMargins left="0.75" right="0.75" top="1" bottom="1" header="0" footer="0"/>
  <pageSetup paperSize="9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2E86AB"/>
  </sheetPr>
  <dimension ref="A1:H100"/>
  <sheetViews>
    <sheetView workbookViewId="0">
      <selection sqref="A1:H1"/>
    </sheetView>
  </sheetViews>
  <sheetFormatPr defaultColWidth="14.42578125" defaultRowHeight="15" customHeight="1" x14ac:dyDescent="0.25"/>
  <cols>
    <col min="1" max="1" width="10" customWidth="1"/>
    <col min="2" max="2" width="26" customWidth="1"/>
    <col min="3" max="7" width="16" customWidth="1"/>
    <col min="8" max="8" width="20" customWidth="1"/>
  </cols>
  <sheetData>
    <row r="1" spans="1:8" ht="27.75" customHeight="1" x14ac:dyDescent="0.25">
      <c r="A1" s="163" t="s">
        <v>301</v>
      </c>
      <c r="B1" s="146"/>
      <c r="C1" s="146"/>
      <c r="D1" s="146"/>
      <c r="E1" s="146"/>
      <c r="F1" s="146"/>
      <c r="G1" s="146"/>
      <c r="H1" s="147"/>
    </row>
    <row r="2" spans="1:8" ht="18" customHeight="1" x14ac:dyDescent="0.25">
      <c r="A2" s="164" t="s">
        <v>34</v>
      </c>
      <c r="B2" s="147"/>
      <c r="C2" s="164" t="s">
        <v>35</v>
      </c>
      <c r="D2" s="147"/>
      <c r="E2" s="164" t="s">
        <v>36</v>
      </c>
      <c r="F2" s="147"/>
      <c r="G2" s="164" t="s">
        <v>37</v>
      </c>
      <c r="H2" s="147"/>
    </row>
    <row r="3" spans="1:8" ht="21.75" customHeight="1" x14ac:dyDescent="0.25">
      <c r="A3" s="162">
        <f>E29</f>
        <v>4275</v>
      </c>
      <c r="B3" s="147"/>
      <c r="C3" s="154">
        <f>E19</f>
        <v>3080</v>
      </c>
      <c r="D3" s="147"/>
      <c r="E3" s="160">
        <f>E29-E19</f>
        <v>1195</v>
      </c>
      <c r="F3" s="147"/>
      <c r="G3" s="161">
        <f>IF(E29&gt;0,(E29-E19)/E29,0)</f>
        <v>0.27953216374269008</v>
      </c>
      <c r="H3" s="147"/>
    </row>
    <row r="4" spans="1:8" ht="14.25" customHeight="1" x14ac:dyDescent="0.25">
      <c r="A4" s="17"/>
      <c r="B4" s="17"/>
      <c r="C4" s="17"/>
      <c r="D4" s="17"/>
      <c r="E4" s="17"/>
      <c r="F4" s="17"/>
      <c r="G4" s="17"/>
      <c r="H4" s="17"/>
    </row>
    <row r="5" spans="1:8" ht="19.5" customHeight="1" x14ac:dyDescent="0.25">
      <c r="A5" s="150" t="s">
        <v>302</v>
      </c>
      <c r="B5" s="146"/>
      <c r="C5" s="146"/>
      <c r="D5" s="146"/>
      <c r="E5" s="146"/>
      <c r="F5" s="146"/>
      <c r="G5" s="146"/>
      <c r="H5" s="147"/>
    </row>
    <row r="6" spans="1:8" ht="15" customHeight="1" x14ac:dyDescent="0.25">
      <c r="A6" s="36" t="s">
        <v>22</v>
      </c>
      <c r="B6" s="36" t="s">
        <v>39</v>
      </c>
      <c r="C6" s="36" t="s">
        <v>40</v>
      </c>
      <c r="D6" s="36" t="s">
        <v>41</v>
      </c>
      <c r="E6" s="36" t="s">
        <v>42</v>
      </c>
      <c r="F6" s="36" t="s">
        <v>43</v>
      </c>
      <c r="G6" s="36" t="s">
        <v>44</v>
      </c>
      <c r="H6" s="36"/>
    </row>
    <row r="7" spans="1:8" ht="15" customHeight="1" x14ac:dyDescent="0.25">
      <c r="A7" s="37" t="s">
        <v>303</v>
      </c>
      <c r="B7" s="38" t="s">
        <v>46</v>
      </c>
      <c r="C7" s="37" t="s">
        <v>167</v>
      </c>
      <c r="D7" s="37" t="s">
        <v>48</v>
      </c>
      <c r="E7" s="39">
        <v>86</v>
      </c>
      <c r="F7" s="37"/>
      <c r="G7" s="37"/>
      <c r="H7" s="37"/>
    </row>
    <row r="8" spans="1:8" ht="15" customHeight="1" x14ac:dyDescent="0.25">
      <c r="A8" s="40" t="s">
        <v>303</v>
      </c>
      <c r="B8" s="41" t="s">
        <v>49</v>
      </c>
      <c r="C8" s="40"/>
      <c r="D8" s="40" t="s">
        <v>50</v>
      </c>
      <c r="E8" s="42">
        <v>216</v>
      </c>
      <c r="F8" s="40"/>
      <c r="G8" s="40"/>
      <c r="H8" s="40"/>
    </row>
    <row r="9" spans="1:8" ht="15" customHeight="1" x14ac:dyDescent="0.25">
      <c r="A9" s="37" t="s">
        <v>303</v>
      </c>
      <c r="B9" s="38" t="s">
        <v>51</v>
      </c>
      <c r="C9" s="37"/>
      <c r="D9" s="37" t="s">
        <v>50</v>
      </c>
      <c r="E9" s="39">
        <v>230</v>
      </c>
      <c r="F9" s="37"/>
      <c r="G9" s="37"/>
      <c r="H9" s="37"/>
    </row>
    <row r="10" spans="1:8" ht="15" customHeight="1" x14ac:dyDescent="0.25">
      <c r="A10" s="40" t="s">
        <v>303</v>
      </c>
      <c r="B10" s="41" t="s">
        <v>52</v>
      </c>
      <c r="C10" s="40"/>
      <c r="D10" s="40" t="s">
        <v>50</v>
      </c>
      <c r="E10" s="42">
        <v>95</v>
      </c>
      <c r="F10" s="40"/>
      <c r="G10" s="40"/>
      <c r="H10" s="40"/>
    </row>
    <row r="11" spans="1:8" ht="15" customHeight="1" x14ac:dyDescent="0.25">
      <c r="A11" s="37" t="s">
        <v>303</v>
      </c>
      <c r="B11" s="38" t="s">
        <v>53</v>
      </c>
      <c r="C11" s="37"/>
      <c r="D11" s="37" t="s">
        <v>50</v>
      </c>
      <c r="E11" s="39">
        <v>120</v>
      </c>
      <c r="F11" s="37"/>
      <c r="G11" s="37"/>
      <c r="H11" s="37"/>
    </row>
    <row r="12" spans="1:8" ht="15" customHeight="1" x14ac:dyDescent="0.25">
      <c r="A12" s="40" t="s">
        <v>303</v>
      </c>
      <c r="B12" s="41" t="s">
        <v>54</v>
      </c>
      <c r="C12" s="40"/>
      <c r="D12" s="40" t="s">
        <v>50</v>
      </c>
      <c r="E12" s="42">
        <v>288</v>
      </c>
      <c r="F12" s="40"/>
      <c r="G12" s="40"/>
      <c r="H12" s="40"/>
    </row>
    <row r="13" spans="1:8" ht="15" customHeight="1" x14ac:dyDescent="0.25">
      <c r="A13" s="37" t="s">
        <v>303</v>
      </c>
      <c r="B13" s="38" t="s">
        <v>55</v>
      </c>
      <c r="C13" s="37"/>
      <c r="D13" s="37" t="s">
        <v>50</v>
      </c>
      <c r="E13" s="39">
        <v>135</v>
      </c>
      <c r="F13" s="37"/>
      <c r="G13" s="37"/>
      <c r="H13" s="37"/>
    </row>
    <row r="14" spans="1:8" ht="15" customHeight="1" x14ac:dyDescent="0.25">
      <c r="A14" s="40" t="s">
        <v>303</v>
      </c>
      <c r="B14" s="40" t="s">
        <v>126</v>
      </c>
      <c r="C14" s="31"/>
      <c r="D14" s="40" t="s">
        <v>50</v>
      </c>
      <c r="E14" s="107">
        <f>'💳 Empréstimo'!F45</f>
        <v>560</v>
      </c>
      <c r="F14" s="31"/>
      <c r="G14" s="40" t="s">
        <v>304</v>
      </c>
      <c r="H14" s="31"/>
    </row>
    <row r="15" spans="1:8" ht="15" customHeight="1" x14ac:dyDescent="0.25">
      <c r="A15" s="31"/>
      <c r="B15" s="31"/>
      <c r="C15" s="31"/>
      <c r="D15" s="31"/>
      <c r="E15" s="29"/>
      <c r="F15" s="31"/>
      <c r="G15" s="31"/>
      <c r="H15" s="31"/>
    </row>
    <row r="16" spans="1:8" ht="15" customHeight="1" x14ac:dyDescent="0.25">
      <c r="A16" s="31"/>
      <c r="B16" s="31"/>
      <c r="C16" s="31"/>
      <c r="D16" s="31"/>
      <c r="E16" s="29"/>
      <c r="F16" s="31"/>
      <c r="G16" s="31"/>
      <c r="H16" s="31"/>
    </row>
    <row r="17" spans="1:8" ht="15" customHeight="1" x14ac:dyDescent="0.25">
      <c r="A17" s="155" t="s">
        <v>56</v>
      </c>
      <c r="B17" s="152"/>
      <c r="C17" s="152"/>
      <c r="D17" s="153"/>
      <c r="E17" s="43">
        <f>SUM(E7:E16)</f>
        <v>1730</v>
      </c>
      <c r="F17" s="44"/>
      <c r="G17" s="44"/>
      <c r="H17" s="44"/>
    </row>
    <row r="18" spans="1:8" ht="15" customHeight="1" x14ac:dyDescent="0.25">
      <c r="A18" s="156" t="s">
        <v>57</v>
      </c>
      <c r="B18" s="152"/>
      <c r="C18" s="152"/>
      <c r="D18" s="153"/>
      <c r="E18" s="45">
        <v>1350</v>
      </c>
      <c r="F18" s="44"/>
      <c r="G18" s="44"/>
      <c r="H18" s="44"/>
    </row>
    <row r="19" spans="1:8" ht="15" customHeight="1" x14ac:dyDescent="0.25">
      <c r="A19" s="157" t="s">
        <v>58</v>
      </c>
      <c r="B19" s="152"/>
      <c r="C19" s="152"/>
      <c r="D19" s="153"/>
      <c r="E19" s="46">
        <f>E17+E18</f>
        <v>3080</v>
      </c>
      <c r="F19" s="47"/>
      <c r="G19" s="47"/>
      <c r="H19" s="47"/>
    </row>
    <row r="20" spans="1:8" ht="14.25" customHeight="1" x14ac:dyDescent="0.25">
      <c r="A20" s="17"/>
      <c r="B20" s="17"/>
      <c r="C20" s="17"/>
      <c r="D20" s="17"/>
      <c r="E20" s="17"/>
      <c r="F20" s="17"/>
      <c r="G20" s="17"/>
      <c r="H20" s="17"/>
    </row>
    <row r="21" spans="1:8" ht="19.5" customHeight="1" x14ac:dyDescent="0.25">
      <c r="A21" s="158" t="s">
        <v>305</v>
      </c>
      <c r="B21" s="146"/>
      <c r="C21" s="146"/>
      <c r="D21" s="146"/>
      <c r="E21" s="146"/>
      <c r="F21" s="146"/>
      <c r="G21" s="146"/>
      <c r="H21" s="147"/>
    </row>
    <row r="22" spans="1:8" ht="15" customHeight="1" x14ac:dyDescent="0.25">
      <c r="A22" s="48" t="s">
        <v>22</v>
      </c>
      <c r="B22" s="48" t="s">
        <v>39</v>
      </c>
      <c r="C22" s="48" t="s">
        <v>40</v>
      </c>
      <c r="D22" s="48" t="s">
        <v>41</v>
      </c>
      <c r="E22" s="48" t="s">
        <v>42</v>
      </c>
      <c r="F22" s="48" t="s">
        <v>60</v>
      </c>
      <c r="G22" s="48" t="s">
        <v>44</v>
      </c>
      <c r="H22" s="48"/>
    </row>
    <row r="23" spans="1:8" ht="15" customHeight="1" x14ac:dyDescent="0.25">
      <c r="A23" s="49" t="s">
        <v>303</v>
      </c>
      <c r="B23" s="50" t="s">
        <v>61</v>
      </c>
      <c r="C23" s="49" t="s">
        <v>62</v>
      </c>
      <c r="D23" s="49" t="s">
        <v>50</v>
      </c>
      <c r="E23" s="51">
        <v>1475</v>
      </c>
      <c r="F23" s="49"/>
      <c r="G23" s="49"/>
      <c r="H23" s="49"/>
    </row>
    <row r="24" spans="1:8" ht="15" customHeight="1" x14ac:dyDescent="0.25">
      <c r="A24" s="52" t="s">
        <v>303</v>
      </c>
      <c r="B24" s="53" t="s">
        <v>63</v>
      </c>
      <c r="C24" s="52" t="s">
        <v>62</v>
      </c>
      <c r="D24" s="52" t="s">
        <v>50</v>
      </c>
      <c r="E24" s="54">
        <v>1300</v>
      </c>
      <c r="F24" s="52"/>
      <c r="G24" s="52"/>
      <c r="H24" s="52"/>
    </row>
    <row r="25" spans="1:8" ht="15" customHeight="1" x14ac:dyDescent="0.25">
      <c r="A25" s="49" t="s">
        <v>303</v>
      </c>
      <c r="B25" s="50" t="s">
        <v>64</v>
      </c>
      <c r="C25" s="49" t="s">
        <v>62</v>
      </c>
      <c r="D25" s="49" t="s">
        <v>50</v>
      </c>
      <c r="E25" s="51">
        <v>1500</v>
      </c>
      <c r="F25" s="49"/>
      <c r="G25" s="49"/>
      <c r="H25" s="49"/>
    </row>
    <row r="26" spans="1:8" ht="15" customHeight="1" x14ac:dyDescent="0.25">
      <c r="A26" s="52"/>
      <c r="B26" s="53"/>
      <c r="C26" s="52"/>
      <c r="D26" s="52"/>
      <c r="E26" s="54"/>
      <c r="F26" s="52"/>
      <c r="G26" s="52"/>
      <c r="H26" s="52"/>
    </row>
    <row r="27" spans="1:8" ht="15" customHeight="1" x14ac:dyDescent="0.25">
      <c r="A27" s="55"/>
      <c r="B27" s="55"/>
      <c r="C27" s="55"/>
      <c r="D27" s="55"/>
      <c r="E27" s="56"/>
      <c r="F27" s="55"/>
      <c r="G27" s="55"/>
      <c r="H27" s="55"/>
    </row>
    <row r="28" spans="1:8" ht="15" customHeight="1" x14ac:dyDescent="0.25">
      <c r="A28" s="55"/>
      <c r="B28" s="55"/>
      <c r="C28" s="55"/>
      <c r="D28" s="55"/>
      <c r="E28" s="56"/>
      <c r="F28" s="55"/>
      <c r="G28" s="55"/>
      <c r="H28" s="55"/>
    </row>
    <row r="29" spans="1:8" ht="15" customHeight="1" x14ac:dyDescent="0.25">
      <c r="A29" s="157" t="s">
        <v>66</v>
      </c>
      <c r="B29" s="152"/>
      <c r="C29" s="152"/>
      <c r="D29" s="153"/>
      <c r="E29" s="46">
        <f>SUM(E23:E28)</f>
        <v>4275</v>
      </c>
      <c r="F29" s="47"/>
      <c r="G29" s="47"/>
      <c r="H29" s="47"/>
    </row>
    <row r="30" spans="1:8" ht="15.75" customHeight="1" x14ac:dyDescent="0.25">
      <c r="A30" s="17"/>
      <c r="B30" s="17"/>
      <c r="C30" s="17"/>
      <c r="D30" s="17"/>
      <c r="E30" s="17"/>
      <c r="F30" s="17"/>
      <c r="G30" s="17"/>
      <c r="H30" s="17"/>
    </row>
    <row r="31" spans="1:8" ht="19.5" customHeight="1" x14ac:dyDescent="0.25">
      <c r="A31" s="159" t="s">
        <v>67</v>
      </c>
      <c r="B31" s="146"/>
      <c r="C31" s="146"/>
      <c r="D31" s="146"/>
      <c r="E31" s="146"/>
      <c r="F31" s="146"/>
      <c r="G31" s="146"/>
      <c r="H31" s="147"/>
    </row>
    <row r="32" spans="1:8" ht="15" customHeight="1" x14ac:dyDescent="0.25">
      <c r="A32" s="151" t="s">
        <v>68</v>
      </c>
      <c r="B32" s="152"/>
      <c r="C32" s="152"/>
      <c r="D32" s="153"/>
      <c r="E32" s="57">
        <f>E29-E19</f>
        <v>1195</v>
      </c>
      <c r="F32" s="58"/>
      <c r="G32" s="58"/>
      <c r="H32" s="58"/>
    </row>
    <row r="33" spans="1:8" ht="15" customHeight="1" x14ac:dyDescent="0.25">
      <c r="A33" s="151" t="s">
        <v>76</v>
      </c>
      <c r="B33" s="152"/>
      <c r="C33" s="152"/>
      <c r="D33" s="153"/>
      <c r="E33" s="57">
        <f>0.7*(E29-E19)</f>
        <v>836.5</v>
      </c>
      <c r="F33" s="58"/>
      <c r="G33" s="58"/>
      <c r="H33" s="58"/>
    </row>
    <row r="34" spans="1:8" ht="15" customHeight="1" x14ac:dyDescent="0.25">
      <c r="A34" s="151" t="s">
        <v>70</v>
      </c>
      <c r="B34" s="152"/>
      <c r="C34" s="152"/>
      <c r="D34" s="153"/>
      <c r="E34" s="57">
        <f>E19/6</f>
        <v>513.33333333333337</v>
      </c>
      <c r="F34" s="58"/>
      <c r="G34" s="58"/>
      <c r="H34" s="58"/>
    </row>
    <row r="35" spans="1:8" ht="15.75" customHeight="1" x14ac:dyDescent="0.25">
      <c r="A35" s="17"/>
      <c r="B35" s="17"/>
      <c r="C35" s="17"/>
      <c r="D35" s="17"/>
      <c r="E35" s="17"/>
      <c r="F35" s="17"/>
      <c r="G35" s="17"/>
      <c r="H35" s="17"/>
    </row>
    <row r="36" spans="1:8" ht="15.75" customHeight="1" x14ac:dyDescent="0.25">
      <c r="A36" s="17"/>
      <c r="B36" s="17"/>
      <c r="C36" s="17"/>
      <c r="D36" s="17"/>
      <c r="E36" s="17"/>
      <c r="F36" s="17"/>
      <c r="G36" s="17"/>
      <c r="H36" s="17"/>
    </row>
    <row r="37" spans="1:8" ht="15.75" customHeight="1" x14ac:dyDescent="0.25">
      <c r="A37" s="17"/>
      <c r="B37" s="17"/>
      <c r="C37" s="17"/>
      <c r="D37" s="17"/>
      <c r="E37" s="17"/>
      <c r="F37" s="17"/>
      <c r="G37" s="17"/>
      <c r="H37" s="17"/>
    </row>
    <row r="38" spans="1:8" ht="15.75" customHeight="1" x14ac:dyDescent="0.25">
      <c r="A38" s="17"/>
      <c r="B38" s="17"/>
      <c r="C38" s="17"/>
      <c r="D38" s="17"/>
      <c r="E38" s="17"/>
      <c r="F38" s="17"/>
      <c r="G38" s="17"/>
      <c r="H38" s="17"/>
    </row>
    <row r="39" spans="1:8" ht="15.75" customHeight="1" x14ac:dyDescent="0.25">
      <c r="A39" s="17"/>
      <c r="B39" s="17"/>
      <c r="C39" s="17"/>
      <c r="D39" s="17"/>
      <c r="E39" s="17"/>
      <c r="F39" s="17"/>
      <c r="G39" s="17"/>
      <c r="H39" s="17"/>
    </row>
    <row r="40" spans="1:8" ht="15.75" customHeight="1" x14ac:dyDescent="0.25">
      <c r="A40" s="17"/>
      <c r="B40" s="17"/>
      <c r="C40" s="17"/>
      <c r="D40" s="17"/>
      <c r="E40" s="17"/>
      <c r="F40" s="17"/>
      <c r="G40" s="17"/>
      <c r="H40" s="17"/>
    </row>
    <row r="41" spans="1:8" ht="15.75" customHeight="1" x14ac:dyDescent="0.25">
      <c r="A41" s="17"/>
      <c r="B41" s="17"/>
      <c r="C41" s="17"/>
      <c r="D41" s="17"/>
      <c r="E41" s="17"/>
      <c r="F41" s="17"/>
      <c r="G41" s="17"/>
      <c r="H41" s="17"/>
    </row>
    <row r="42" spans="1:8" ht="15.75" customHeight="1" x14ac:dyDescent="0.25">
      <c r="A42" s="17"/>
      <c r="B42" s="17"/>
      <c r="C42" s="17"/>
      <c r="D42" s="17"/>
      <c r="E42" s="17"/>
      <c r="F42" s="17"/>
      <c r="G42" s="17"/>
      <c r="H42" s="17"/>
    </row>
    <row r="43" spans="1:8" ht="15.75" customHeight="1" x14ac:dyDescent="0.25">
      <c r="A43" s="17"/>
      <c r="B43" s="17"/>
      <c r="C43" s="17"/>
      <c r="D43" s="17"/>
      <c r="E43" s="17"/>
      <c r="F43" s="17"/>
      <c r="G43" s="17"/>
      <c r="H43" s="17"/>
    </row>
    <row r="44" spans="1:8" ht="15.75" customHeight="1" x14ac:dyDescent="0.25">
      <c r="A44" s="17"/>
      <c r="B44" s="17"/>
      <c r="C44" s="17"/>
      <c r="D44" s="17"/>
      <c r="E44" s="17"/>
      <c r="F44" s="17"/>
      <c r="G44" s="17"/>
      <c r="H44" s="17"/>
    </row>
    <row r="45" spans="1:8" ht="15.75" customHeight="1" x14ac:dyDescent="0.25">
      <c r="A45" s="17"/>
      <c r="B45" s="17"/>
      <c r="C45" s="17"/>
      <c r="D45" s="17"/>
      <c r="E45" s="17"/>
      <c r="F45" s="17"/>
      <c r="G45" s="17"/>
      <c r="H45" s="17"/>
    </row>
    <row r="46" spans="1:8" ht="15.75" customHeight="1" x14ac:dyDescent="0.25">
      <c r="A46" s="17"/>
      <c r="B46" s="17"/>
      <c r="C46" s="17"/>
      <c r="D46" s="17"/>
      <c r="E46" s="17"/>
      <c r="F46" s="17"/>
      <c r="G46" s="17"/>
      <c r="H46" s="17"/>
    </row>
    <row r="47" spans="1:8" ht="15.75" customHeight="1" x14ac:dyDescent="0.25">
      <c r="A47" s="17"/>
      <c r="B47" s="17"/>
      <c r="C47" s="17"/>
      <c r="D47" s="17"/>
      <c r="E47" s="17"/>
      <c r="F47" s="17"/>
      <c r="G47" s="17"/>
      <c r="H47" s="17"/>
    </row>
    <row r="48" spans="1:8" ht="15.75" customHeight="1" x14ac:dyDescent="0.25">
      <c r="A48" s="17"/>
      <c r="B48" s="17"/>
      <c r="C48" s="17"/>
      <c r="D48" s="17"/>
      <c r="E48" s="17"/>
      <c r="F48" s="17"/>
      <c r="G48" s="17"/>
      <c r="H48" s="17"/>
    </row>
    <row r="49" spans="1:8" ht="15.75" customHeight="1" x14ac:dyDescent="0.25">
      <c r="A49" s="17"/>
      <c r="B49" s="17"/>
      <c r="C49" s="17"/>
      <c r="D49" s="17"/>
      <c r="E49" s="17"/>
      <c r="F49" s="17"/>
      <c r="G49" s="17"/>
      <c r="H49" s="17"/>
    </row>
    <row r="50" spans="1:8" ht="15.75" customHeight="1" x14ac:dyDescent="0.25">
      <c r="A50" s="17"/>
      <c r="B50" s="17"/>
      <c r="C50" s="17"/>
      <c r="D50" s="17"/>
      <c r="E50" s="17"/>
      <c r="F50" s="17"/>
      <c r="G50" s="17"/>
      <c r="H50" s="17"/>
    </row>
    <row r="51" spans="1:8" ht="15.75" customHeight="1" x14ac:dyDescent="0.25">
      <c r="A51" s="17"/>
      <c r="B51" s="17"/>
      <c r="C51" s="17"/>
      <c r="D51" s="17"/>
      <c r="E51" s="17"/>
      <c r="F51" s="17"/>
      <c r="G51" s="17"/>
      <c r="H51" s="17"/>
    </row>
    <row r="52" spans="1:8" ht="15.75" customHeight="1" x14ac:dyDescent="0.25">
      <c r="A52" s="17"/>
      <c r="B52" s="17"/>
      <c r="C52" s="17"/>
      <c r="D52" s="17"/>
      <c r="E52" s="17"/>
      <c r="F52" s="17"/>
      <c r="G52" s="17"/>
      <c r="H52" s="17"/>
    </row>
    <row r="53" spans="1:8" ht="15.75" customHeight="1" x14ac:dyDescent="0.25">
      <c r="A53" s="17"/>
      <c r="B53" s="17"/>
      <c r="C53" s="17"/>
      <c r="D53" s="17"/>
      <c r="E53" s="17"/>
      <c r="F53" s="17"/>
      <c r="G53" s="17"/>
      <c r="H53" s="17"/>
    </row>
    <row r="54" spans="1:8" ht="15.75" customHeight="1" x14ac:dyDescent="0.25">
      <c r="A54" s="17"/>
      <c r="B54" s="17"/>
      <c r="C54" s="17"/>
      <c r="D54" s="17"/>
      <c r="E54" s="17"/>
      <c r="F54" s="17"/>
      <c r="G54" s="17"/>
      <c r="H54" s="17"/>
    </row>
    <row r="55" spans="1:8" ht="15.75" customHeight="1" x14ac:dyDescent="0.25">
      <c r="A55" s="17"/>
      <c r="B55" s="17"/>
      <c r="C55" s="17"/>
      <c r="D55" s="17"/>
      <c r="E55" s="17"/>
      <c r="F55" s="17"/>
      <c r="G55" s="17"/>
      <c r="H55" s="17"/>
    </row>
    <row r="56" spans="1:8" ht="15.75" customHeight="1" x14ac:dyDescent="0.25">
      <c r="A56" s="17"/>
      <c r="B56" s="17"/>
      <c r="C56" s="17"/>
      <c r="D56" s="17"/>
      <c r="E56" s="17"/>
      <c r="F56" s="17"/>
      <c r="G56" s="17"/>
      <c r="H56" s="17"/>
    </row>
    <row r="57" spans="1:8" ht="15.75" customHeight="1" x14ac:dyDescent="0.25">
      <c r="A57" s="17"/>
      <c r="B57" s="17"/>
      <c r="C57" s="17"/>
      <c r="D57" s="17"/>
      <c r="E57" s="17"/>
      <c r="F57" s="17"/>
      <c r="G57" s="17"/>
      <c r="H57" s="17"/>
    </row>
    <row r="58" spans="1:8" ht="15.75" customHeight="1" x14ac:dyDescent="0.25">
      <c r="A58" s="17"/>
      <c r="B58" s="17"/>
      <c r="C58" s="17"/>
      <c r="D58" s="17"/>
      <c r="E58" s="17"/>
      <c r="F58" s="17"/>
      <c r="G58" s="17"/>
      <c r="H58" s="17"/>
    </row>
    <row r="59" spans="1:8" ht="15.75" customHeight="1" x14ac:dyDescent="0.25">
      <c r="A59" s="17"/>
      <c r="B59" s="17"/>
      <c r="C59" s="17"/>
      <c r="D59" s="17"/>
      <c r="E59" s="17"/>
      <c r="F59" s="17"/>
      <c r="G59" s="17"/>
      <c r="H59" s="17"/>
    </row>
    <row r="60" spans="1:8" ht="15.75" customHeight="1" x14ac:dyDescent="0.25">
      <c r="A60" s="17"/>
      <c r="B60" s="17"/>
      <c r="C60" s="17"/>
      <c r="D60" s="17"/>
      <c r="E60" s="17"/>
      <c r="F60" s="17"/>
      <c r="G60" s="17"/>
      <c r="H60" s="17"/>
    </row>
    <row r="61" spans="1:8" ht="15.75" customHeight="1" x14ac:dyDescent="0.25">
      <c r="A61" s="17"/>
      <c r="B61" s="17"/>
      <c r="C61" s="17"/>
      <c r="D61" s="17"/>
      <c r="E61" s="17"/>
      <c r="F61" s="17"/>
      <c r="G61" s="17"/>
      <c r="H61" s="17"/>
    </row>
    <row r="62" spans="1:8" ht="15.75" customHeight="1" x14ac:dyDescent="0.25">
      <c r="A62" s="17"/>
      <c r="B62" s="17"/>
      <c r="C62" s="17"/>
      <c r="D62" s="17"/>
      <c r="E62" s="17"/>
      <c r="F62" s="17"/>
      <c r="G62" s="17"/>
      <c r="H62" s="17"/>
    </row>
    <row r="63" spans="1:8" ht="15.75" customHeight="1" x14ac:dyDescent="0.25">
      <c r="A63" s="17"/>
      <c r="B63" s="17"/>
      <c r="C63" s="17"/>
      <c r="D63" s="17"/>
      <c r="E63" s="17"/>
      <c r="F63" s="17"/>
      <c r="G63" s="17"/>
      <c r="H63" s="17"/>
    </row>
    <row r="64" spans="1:8" ht="15.75" customHeight="1" x14ac:dyDescent="0.25">
      <c r="A64" s="17"/>
      <c r="B64" s="17"/>
      <c r="C64" s="17"/>
      <c r="D64" s="17"/>
      <c r="E64" s="17"/>
      <c r="F64" s="17"/>
      <c r="G64" s="17"/>
      <c r="H64" s="17"/>
    </row>
    <row r="65" spans="1:8" ht="15.75" customHeight="1" x14ac:dyDescent="0.25">
      <c r="A65" s="17"/>
      <c r="B65" s="17"/>
      <c r="C65" s="17"/>
      <c r="D65" s="17"/>
      <c r="E65" s="17"/>
      <c r="F65" s="17"/>
      <c r="G65" s="17"/>
      <c r="H65" s="17"/>
    </row>
    <row r="66" spans="1:8" ht="15.75" customHeight="1" x14ac:dyDescent="0.25">
      <c r="A66" s="17"/>
      <c r="B66" s="17"/>
      <c r="C66" s="17"/>
      <c r="D66" s="17"/>
      <c r="E66" s="17"/>
      <c r="F66" s="17"/>
      <c r="G66" s="17"/>
      <c r="H66" s="17"/>
    </row>
    <row r="67" spans="1:8" ht="15.75" customHeight="1" x14ac:dyDescent="0.25">
      <c r="A67" s="17"/>
      <c r="B67" s="17"/>
      <c r="C67" s="17"/>
      <c r="D67" s="17"/>
      <c r="E67" s="17"/>
      <c r="F67" s="17"/>
      <c r="G67" s="17"/>
      <c r="H67" s="17"/>
    </row>
    <row r="68" spans="1:8" ht="15.75" customHeight="1" x14ac:dyDescent="0.25">
      <c r="A68" s="17"/>
      <c r="B68" s="17"/>
      <c r="C68" s="17"/>
      <c r="D68" s="17"/>
      <c r="E68" s="17"/>
      <c r="F68" s="17"/>
      <c r="G68" s="17"/>
      <c r="H68" s="17"/>
    </row>
    <row r="69" spans="1:8" ht="15.75" customHeight="1" x14ac:dyDescent="0.25">
      <c r="A69" s="17"/>
      <c r="B69" s="17"/>
      <c r="C69" s="17"/>
      <c r="D69" s="17"/>
      <c r="E69" s="17"/>
      <c r="F69" s="17"/>
      <c r="G69" s="17"/>
      <c r="H69" s="17"/>
    </row>
    <row r="70" spans="1:8" ht="15.75" customHeight="1" x14ac:dyDescent="0.25">
      <c r="A70" s="17"/>
      <c r="B70" s="17"/>
      <c r="C70" s="17"/>
      <c r="D70" s="17"/>
      <c r="E70" s="17"/>
      <c r="F70" s="17"/>
      <c r="G70" s="17"/>
      <c r="H70" s="17"/>
    </row>
    <row r="71" spans="1:8" ht="15.75" customHeight="1" x14ac:dyDescent="0.25">
      <c r="A71" s="17"/>
      <c r="B71" s="17"/>
      <c r="C71" s="17"/>
      <c r="D71" s="17"/>
      <c r="E71" s="17"/>
      <c r="F71" s="17"/>
      <c r="G71" s="17"/>
      <c r="H71" s="17"/>
    </row>
    <row r="72" spans="1:8" ht="15.75" customHeight="1" x14ac:dyDescent="0.25">
      <c r="A72" s="17"/>
      <c r="B72" s="17"/>
      <c r="C72" s="17"/>
      <c r="D72" s="17"/>
      <c r="E72" s="17"/>
      <c r="F72" s="17"/>
      <c r="G72" s="17"/>
      <c r="H72" s="17"/>
    </row>
    <row r="73" spans="1:8" ht="15.75" customHeight="1" x14ac:dyDescent="0.25">
      <c r="A73" s="17"/>
      <c r="B73" s="17"/>
      <c r="C73" s="17"/>
      <c r="D73" s="17"/>
      <c r="E73" s="17"/>
      <c r="F73" s="17"/>
      <c r="G73" s="17"/>
      <c r="H73" s="17"/>
    </row>
    <row r="74" spans="1:8" ht="15.75" customHeight="1" x14ac:dyDescent="0.25">
      <c r="A74" s="17"/>
      <c r="B74" s="17"/>
      <c r="C74" s="17"/>
      <c r="D74" s="17"/>
      <c r="E74" s="17"/>
      <c r="F74" s="17"/>
      <c r="G74" s="17"/>
      <c r="H74" s="17"/>
    </row>
    <row r="75" spans="1:8" ht="15.75" customHeight="1" x14ac:dyDescent="0.25">
      <c r="A75" s="17"/>
      <c r="B75" s="17"/>
      <c r="C75" s="17"/>
      <c r="D75" s="17"/>
      <c r="E75" s="17"/>
      <c r="F75" s="17"/>
      <c r="G75" s="17"/>
      <c r="H75" s="17"/>
    </row>
    <row r="76" spans="1:8" ht="15.75" customHeight="1" x14ac:dyDescent="0.25">
      <c r="A76" s="17"/>
      <c r="B76" s="17"/>
      <c r="C76" s="17"/>
      <c r="D76" s="17"/>
      <c r="E76" s="17"/>
      <c r="F76" s="17"/>
      <c r="G76" s="17"/>
      <c r="H76" s="17"/>
    </row>
    <row r="77" spans="1:8" ht="15.75" customHeight="1" x14ac:dyDescent="0.25">
      <c r="A77" s="17"/>
      <c r="B77" s="17"/>
      <c r="C77" s="17"/>
      <c r="D77" s="17"/>
      <c r="E77" s="17"/>
      <c r="F77" s="17"/>
      <c r="G77" s="17"/>
      <c r="H77" s="17"/>
    </row>
    <row r="78" spans="1:8" ht="15.75" customHeight="1" x14ac:dyDescent="0.25">
      <c r="A78" s="17"/>
      <c r="B78" s="17"/>
      <c r="C78" s="17"/>
      <c r="D78" s="17"/>
      <c r="E78" s="17"/>
      <c r="F78" s="17"/>
      <c r="G78" s="17"/>
      <c r="H78" s="17"/>
    </row>
    <row r="79" spans="1:8" ht="15.75" customHeight="1" x14ac:dyDescent="0.25">
      <c r="A79" s="17"/>
      <c r="B79" s="17"/>
      <c r="C79" s="17"/>
      <c r="D79" s="17"/>
      <c r="E79" s="17"/>
      <c r="F79" s="17"/>
      <c r="G79" s="17"/>
      <c r="H79" s="17"/>
    </row>
    <row r="80" spans="1:8" ht="15.75" customHeight="1" x14ac:dyDescent="0.25">
      <c r="A80" s="17"/>
      <c r="B80" s="17"/>
      <c r="C80" s="17"/>
      <c r="D80" s="17"/>
      <c r="E80" s="17"/>
      <c r="F80" s="17"/>
      <c r="G80" s="17"/>
      <c r="H80" s="17"/>
    </row>
    <row r="81" spans="1:8" ht="15.75" customHeight="1" x14ac:dyDescent="0.25">
      <c r="A81" s="17"/>
      <c r="B81" s="17"/>
      <c r="C81" s="17"/>
      <c r="D81" s="17"/>
      <c r="E81" s="17"/>
      <c r="F81" s="17"/>
      <c r="G81" s="17"/>
      <c r="H81" s="17"/>
    </row>
    <row r="82" spans="1:8" ht="15.75" customHeight="1" x14ac:dyDescent="0.25">
      <c r="A82" s="17"/>
      <c r="B82" s="17"/>
      <c r="C82" s="17"/>
      <c r="D82" s="17"/>
      <c r="E82" s="17"/>
      <c r="F82" s="17"/>
      <c r="G82" s="17"/>
      <c r="H82" s="17"/>
    </row>
    <row r="83" spans="1:8" ht="15.75" customHeight="1" x14ac:dyDescent="0.25">
      <c r="A83" s="17"/>
      <c r="B83" s="17"/>
      <c r="C83" s="17"/>
      <c r="D83" s="17"/>
      <c r="E83" s="17"/>
      <c r="F83" s="17"/>
      <c r="G83" s="17"/>
      <c r="H83" s="17"/>
    </row>
    <row r="84" spans="1:8" ht="15.75" customHeight="1" x14ac:dyDescent="0.25">
      <c r="A84" s="17"/>
      <c r="B84" s="17"/>
      <c r="C84" s="17"/>
      <c r="D84" s="17"/>
      <c r="E84" s="17"/>
      <c r="F84" s="17"/>
      <c r="G84" s="17"/>
      <c r="H84" s="17"/>
    </row>
    <row r="85" spans="1:8" ht="15.75" customHeight="1" x14ac:dyDescent="0.25">
      <c r="A85" s="17"/>
      <c r="B85" s="17"/>
      <c r="C85" s="17"/>
      <c r="D85" s="17"/>
      <c r="E85" s="17"/>
      <c r="F85" s="17"/>
      <c r="G85" s="17"/>
      <c r="H85" s="17"/>
    </row>
    <row r="86" spans="1:8" ht="15.75" customHeight="1" x14ac:dyDescent="0.25">
      <c r="A86" s="17"/>
      <c r="B86" s="17"/>
      <c r="C86" s="17"/>
      <c r="D86" s="17"/>
      <c r="E86" s="17"/>
      <c r="F86" s="17"/>
      <c r="G86" s="17"/>
      <c r="H86" s="17"/>
    </row>
    <row r="87" spans="1:8" ht="15.75" customHeight="1" x14ac:dyDescent="0.25">
      <c r="A87" s="17"/>
      <c r="B87" s="17"/>
      <c r="C87" s="17"/>
      <c r="D87" s="17"/>
      <c r="E87" s="17"/>
      <c r="F87" s="17"/>
      <c r="G87" s="17"/>
      <c r="H87" s="17"/>
    </row>
    <row r="88" spans="1:8" ht="15.75" customHeight="1" x14ac:dyDescent="0.25">
      <c r="A88" s="17"/>
      <c r="B88" s="17"/>
      <c r="C88" s="17"/>
      <c r="D88" s="17"/>
      <c r="E88" s="17"/>
      <c r="F88" s="17"/>
      <c r="G88" s="17"/>
      <c r="H88" s="17"/>
    </row>
    <row r="89" spans="1:8" ht="15.75" customHeight="1" x14ac:dyDescent="0.25">
      <c r="A89" s="17"/>
      <c r="B89" s="17"/>
      <c r="C89" s="17"/>
      <c r="D89" s="17"/>
      <c r="E89" s="17"/>
      <c r="F89" s="17"/>
      <c r="G89" s="17"/>
      <c r="H89" s="17"/>
    </row>
    <row r="90" spans="1:8" ht="15.75" customHeight="1" x14ac:dyDescent="0.25">
      <c r="A90" s="17"/>
      <c r="B90" s="17"/>
      <c r="C90" s="17"/>
      <c r="D90" s="17"/>
      <c r="E90" s="17"/>
      <c r="F90" s="17"/>
      <c r="G90" s="17"/>
      <c r="H90" s="17"/>
    </row>
    <row r="91" spans="1:8" ht="15.75" customHeight="1" x14ac:dyDescent="0.25">
      <c r="A91" s="17"/>
      <c r="B91" s="17"/>
      <c r="C91" s="17"/>
      <c r="D91" s="17"/>
      <c r="E91" s="17"/>
      <c r="F91" s="17"/>
      <c r="G91" s="17"/>
      <c r="H91" s="17"/>
    </row>
    <row r="92" spans="1:8" ht="15.75" customHeight="1" x14ac:dyDescent="0.25">
      <c r="A92" s="17"/>
      <c r="B92" s="17"/>
      <c r="C92" s="17"/>
      <c r="D92" s="17"/>
      <c r="E92" s="17"/>
      <c r="F92" s="17"/>
      <c r="G92" s="17"/>
      <c r="H92" s="17"/>
    </row>
    <row r="93" spans="1:8" ht="15.75" customHeight="1" x14ac:dyDescent="0.25">
      <c r="A93" s="17"/>
      <c r="B93" s="17"/>
      <c r="C93" s="17"/>
      <c r="D93" s="17"/>
      <c r="E93" s="17"/>
      <c r="F93" s="17"/>
      <c r="G93" s="17"/>
      <c r="H93" s="17"/>
    </row>
    <row r="94" spans="1:8" ht="15.75" customHeight="1" x14ac:dyDescent="0.25">
      <c r="A94" s="17"/>
      <c r="B94" s="17"/>
      <c r="C94" s="17"/>
      <c r="D94" s="17"/>
      <c r="E94" s="17"/>
      <c r="F94" s="17"/>
      <c r="G94" s="17"/>
      <c r="H94" s="17"/>
    </row>
    <row r="95" spans="1:8" ht="15.75" customHeight="1" x14ac:dyDescent="0.25">
      <c r="A95" s="17"/>
      <c r="B95" s="17"/>
      <c r="C95" s="17"/>
      <c r="D95" s="17"/>
      <c r="E95" s="17"/>
      <c r="F95" s="17"/>
      <c r="G95" s="17"/>
      <c r="H95" s="17"/>
    </row>
    <row r="96" spans="1:8" ht="15.75" customHeight="1" x14ac:dyDescent="0.25">
      <c r="A96" s="17"/>
      <c r="B96" s="17"/>
      <c r="C96" s="17"/>
      <c r="D96" s="17"/>
      <c r="E96" s="17"/>
      <c r="F96" s="17"/>
      <c r="G96" s="17"/>
      <c r="H96" s="17"/>
    </row>
    <row r="97" spans="1:8" ht="15.75" customHeight="1" x14ac:dyDescent="0.25">
      <c r="A97" s="17"/>
      <c r="B97" s="17"/>
      <c r="C97" s="17"/>
      <c r="D97" s="17"/>
      <c r="E97" s="17"/>
      <c r="F97" s="17"/>
      <c r="G97" s="17"/>
      <c r="H97" s="17"/>
    </row>
    <row r="98" spans="1:8" ht="15.75" customHeight="1" x14ac:dyDescent="0.25">
      <c r="A98" s="17"/>
      <c r="B98" s="17"/>
      <c r="C98" s="17"/>
      <c r="D98" s="17"/>
      <c r="E98" s="17"/>
      <c r="F98" s="17"/>
      <c r="G98" s="17"/>
      <c r="H98" s="17"/>
    </row>
    <row r="99" spans="1:8" ht="15.75" customHeight="1" x14ac:dyDescent="0.25">
      <c r="A99" s="17"/>
      <c r="B99" s="17"/>
      <c r="C99" s="17"/>
      <c r="D99" s="17"/>
      <c r="E99" s="17"/>
      <c r="F99" s="17"/>
      <c r="G99" s="17"/>
      <c r="H99" s="17"/>
    </row>
    <row r="100" spans="1:8" ht="15.75" customHeight="1" x14ac:dyDescent="0.25">
      <c r="A100" s="17"/>
      <c r="B100" s="17"/>
      <c r="C100" s="17"/>
      <c r="D100" s="17"/>
      <c r="E100" s="17"/>
      <c r="F100" s="17"/>
      <c r="G100" s="17"/>
      <c r="H100" s="17"/>
    </row>
  </sheetData>
  <mergeCells count="19">
    <mergeCell ref="A1:H1"/>
    <mergeCell ref="A2:B2"/>
    <mergeCell ref="C2:D2"/>
    <mergeCell ref="E2:F2"/>
    <mergeCell ref="G2:H2"/>
    <mergeCell ref="A5:H5"/>
    <mergeCell ref="A32:D32"/>
    <mergeCell ref="A33:D33"/>
    <mergeCell ref="A34:D34"/>
    <mergeCell ref="C3:D3"/>
    <mergeCell ref="A17:D17"/>
    <mergeCell ref="A18:D18"/>
    <mergeCell ref="A19:D19"/>
    <mergeCell ref="A21:H21"/>
    <mergeCell ref="A29:D29"/>
    <mergeCell ref="A31:H31"/>
    <mergeCell ref="E3:F3"/>
    <mergeCell ref="G3:H3"/>
    <mergeCell ref="A3:B3"/>
  </mergeCells>
  <pageMargins left="0.75" right="0.75" top="1" bottom="1" header="0" footer="0"/>
  <pageSetup paperSize="9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2E86AB"/>
  </sheetPr>
  <dimension ref="A1:H100"/>
  <sheetViews>
    <sheetView workbookViewId="0">
      <selection sqref="A1:H1"/>
    </sheetView>
  </sheetViews>
  <sheetFormatPr defaultColWidth="14.42578125" defaultRowHeight="15" customHeight="1" x14ac:dyDescent="0.25"/>
  <cols>
    <col min="1" max="1" width="10" customWidth="1"/>
    <col min="2" max="2" width="26" customWidth="1"/>
    <col min="3" max="7" width="16" customWidth="1"/>
    <col min="8" max="8" width="20" customWidth="1"/>
  </cols>
  <sheetData>
    <row r="1" spans="1:8" ht="27.75" customHeight="1" x14ac:dyDescent="0.25">
      <c r="A1" s="163" t="s">
        <v>306</v>
      </c>
      <c r="B1" s="146"/>
      <c r="C1" s="146"/>
      <c r="D1" s="146"/>
      <c r="E1" s="146"/>
      <c r="F1" s="146"/>
      <c r="G1" s="146"/>
      <c r="H1" s="147"/>
    </row>
    <row r="2" spans="1:8" ht="18" customHeight="1" x14ac:dyDescent="0.25">
      <c r="A2" s="164" t="s">
        <v>34</v>
      </c>
      <c r="B2" s="147"/>
      <c r="C2" s="164" t="s">
        <v>35</v>
      </c>
      <c r="D2" s="147"/>
      <c r="E2" s="164" t="s">
        <v>36</v>
      </c>
      <c r="F2" s="147"/>
      <c r="G2" s="164" t="s">
        <v>37</v>
      </c>
      <c r="H2" s="147"/>
    </row>
    <row r="3" spans="1:8" ht="21.75" customHeight="1" x14ac:dyDescent="0.25">
      <c r="A3" s="162">
        <f>E29</f>
        <v>4275</v>
      </c>
      <c r="B3" s="147"/>
      <c r="C3" s="154">
        <f>E19</f>
        <v>3080</v>
      </c>
      <c r="D3" s="147"/>
      <c r="E3" s="160">
        <f>E29-E19</f>
        <v>1195</v>
      </c>
      <c r="F3" s="147"/>
      <c r="G3" s="161">
        <f>IF(E29&gt;0,(E29-E19)/E29,0)</f>
        <v>0.27953216374269008</v>
      </c>
      <c r="H3" s="147"/>
    </row>
    <row r="4" spans="1:8" ht="14.25" customHeight="1" x14ac:dyDescent="0.25">
      <c r="A4" s="17"/>
      <c r="B4" s="17"/>
      <c r="C4" s="17"/>
      <c r="D4" s="17"/>
      <c r="E4" s="17"/>
      <c r="F4" s="17"/>
      <c r="G4" s="17"/>
      <c r="H4" s="17"/>
    </row>
    <row r="5" spans="1:8" ht="19.5" customHeight="1" x14ac:dyDescent="0.25">
      <c r="A5" s="150" t="s">
        <v>307</v>
      </c>
      <c r="B5" s="146"/>
      <c r="C5" s="146"/>
      <c r="D5" s="146"/>
      <c r="E5" s="146"/>
      <c r="F5" s="146"/>
      <c r="G5" s="146"/>
      <c r="H5" s="147"/>
    </row>
    <row r="6" spans="1:8" ht="15" customHeight="1" x14ac:dyDescent="0.25">
      <c r="A6" s="36" t="s">
        <v>22</v>
      </c>
      <c r="B6" s="36" t="s">
        <v>39</v>
      </c>
      <c r="C6" s="36" t="s">
        <v>40</v>
      </c>
      <c r="D6" s="36" t="s">
        <v>41</v>
      </c>
      <c r="E6" s="36" t="s">
        <v>42</v>
      </c>
      <c r="F6" s="36" t="s">
        <v>43</v>
      </c>
      <c r="G6" s="36" t="s">
        <v>44</v>
      </c>
      <c r="H6" s="36"/>
    </row>
    <row r="7" spans="1:8" ht="15" customHeight="1" x14ac:dyDescent="0.25">
      <c r="A7" s="37" t="s">
        <v>308</v>
      </c>
      <c r="B7" s="38" t="s">
        <v>46</v>
      </c>
      <c r="C7" s="37" t="s">
        <v>167</v>
      </c>
      <c r="D7" s="37" t="s">
        <v>48</v>
      </c>
      <c r="E7" s="39">
        <v>86</v>
      </c>
      <c r="F7" s="37"/>
      <c r="G7" s="37"/>
      <c r="H7" s="37"/>
    </row>
    <row r="8" spans="1:8" ht="15" customHeight="1" x14ac:dyDescent="0.25">
      <c r="A8" s="40" t="s">
        <v>308</v>
      </c>
      <c r="B8" s="41" t="s">
        <v>49</v>
      </c>
      <c r="C8" s="40"/>
      <c r="D8" s="40" t="s">
        <v>50</v>
      </c>
      <c r="E8" s="42">
        <v>216</v>
      </c>
      <c r="F8" s="40"/>
      <c r="G8" s="40"/>
      <c r="H8" s="40"/>
    </row>
    <row r="9" spans="1:8" ht="15" customHeight="1" x14ac:dyDescent="0.25">
      <c r="A9" s="37" t="s">
        <v>308</v>
      </c>
      <c r="B9" s="38" t="s">
        <v>51</v>
      </c>
      <c r="C9" s="37"/>
      <c r="D9" s="37" t="s">
        <v>50</v>
      </c>
      <c r="E9" s="39">
        <v>230</v>
      </c>
      <c r="F9" s="37"/>
      <c r="G9" s="37"/>
      <c r="H9" s="37"/>
    </row>
    <row r="10" spans="1:8" ht="15" customHeight="1" x14ac:dyDescent="0.25">
      <c r="A10" s="40" t="s">
        <v>308</v>
      </c>
      <c r="B10" s="41" t="s">
        <v>52</v>
      </c>
      <c r="C10" s="40"/>
      <c r="D10" s="40" t="s">
        <v>50</v>
      </c>
      <c r="E10" s="42">
        <v>95</v>
      </c>
      <c r="F10" s="40"/>
      <c r="G10" s="40"/>
      <c r="H10" s="40"/>
    </row>
    <row r="11" spans="1:8" ht="15" customHeight="1" x14ac:dyDescent="0.25">
      <c r="A11" s="37" t="s">
        <v>308</v>
      </c>
      <c r="B11" s="38" t="s">
        <v>53</v>
      </c>
      <c r="C11" s="37"/>
      <c r="D11" s="37" t="s">
        <v>50</v>
      </c>
      <c r="E11" s="39">
        <v>120</v>
      </c>
      <c r="F11" s="37"/>
      <c r="G11" s="37"/>
      <c r="H11" s="37"/>
    </row>
    <row r="12" spans="1:8" ht="15" customHeight="1" x14ac:dyDescent="0.25">
      <c r="A12" s="40" t="s">
        <v>308</v>
      </c>
      <c r="B12" s="41" t="s">
        <v>54</v>
      </c>
      <c r="C12" s="40"/>
      <c r="D12" s="40" t="s">
        <v>50</v>
      </c>
      <c r="E12" s="42">
        <v>288</v>
      </c>
      <c r="F12" s="40"/>
      <c r="G12" s="40"/>
      <c r="H12" s="40"/>
    </row>
    <row r="13" spans="1:8" ht="15" customHeight="1" x14ac:dyDescent="0.25">
      <c r="A13" s="37" t="s">
        <v>308</v>
      </c>
      <c r="B13" s="38" t="s">
        <v>55</v>
      </c>
      <c r="C13" s="37"/>
      <c r="D13" s="37" t="s">
        <v>50</v>
      </c>
      <c r="E13" s="39">
        <v>135</v>
      </c>
      <c r="F13" s="37"/>
      <c r="G13" s="37"/>
      <c r="H13" s="37"/>
    </row>
    <row r="14" spans="1:8" ht="15" customHeight="1" x14ac:dyDescent="0.25">
      <c r="A14" s="40" t="s">
        <v>308</v>
      </c>
      <c r="B14" s="40" t="s">
        <v>126</v>
      </c>
      <c r="C14" s="31"/>
      <c r="D14" s="40" t="s">
        <v>50</v>
      </c>
      <c r="E14" s="107">
        <f>'💳 Empréstimo'!F46</f>
        <v>560</v>
      </c>
      <c r="F14" s="31"/>
      <c r="G14" s="40" t="s">
        <v>309</v>
      </c>
      <c r="H14" s="31"/>
    </row>
    <row r="15" spans="1:8" ht="15" customHeight="1" x14ac:dyDescent="0.25">
      <c r="A15" s="31"/>
      <c r="B15" s="31"/>
      <c r="C15" s="31"/>
      <c r="D15" s="31"/>
      <c r="E15" s="29"/>
      <c r="F15" s="31"/>
      <c r="G15" s="31"/>
      <c r="H15" s="31"/>
    </row>
    <row r="16" spans="1:8" ht="15" customHeight="1" x14ac:dyDescent="0.25">
      <c r="A16" s="31"/>
      <c r="B16" s="31"/>
      <c r="C16" s="31"/>
      <c r="D16" s="31"/>
      <c r="E16" s="29"/>
      <c r="F16" s="31"/>
      <c r="G16" s="31"/>
      <c r="H16" s="31"/>
    </row>
    <row r="17" spans="1:8" ht="15" customHeight="1" x14ac:dyDescent="0.25">
      <c r="A17" s="155" t="s">
        <v>56</v>
      </c>
      <c r="B17" s="152"/>
      <c r="C17" s="152"/>
      <c r="D17" s="153"/>
      <c r="E17" s="43">
        <f>SUM(E7:E16)</f>
        <v>1730</v>
      </c>
      <c r="F17" s="44"/>
      <c r="G17" s="44"/>
      <c r="H17" s="44"/>
    </row>
    <row r="18" spans="1:8" ht="15" customHeight="1" x14ac:dyDescent="0.25">
      <c r="A18" s="156" t="s">
        <v>57</v>
      </c>
      <c r="B18" s="152"/>
      <c r="C18" s="152"/>
      <c r="D18" s="153"/>
      <c r="E18" s="45">
        <v>1350</v>
      </c>
      <c r="F18" s="44"/>
      <c r="G18" s="44"/>
      <c r="H18" s="44"/>
    </row>
    <row r="19" spans="1:8" ht="15" customHeight="1" x14ac:dyDescent="0.25">
      <c r="A19" s="157" t="s">
        <v>58</v>
      </c>
      <c r="B19" s="152"/>
      <c r="C19" s="152"/>
      <c r="D19" s="153"/>
      <c r="E19" s="46">
        <f>E17+E18</f>
        <v>3080</v>
      </c>
      <c r="F19" s="47"/>
      <c r="G19" s="47"/>
      <c r="H19" s="47"/>
    </row>
    <row r="20" spans="1:8" ht="14.25" customHeight="1" x14ac:dyDescent="0.25">
      <c r="A20" s="17"/>
      <c r="B20" s="17"/>
      <c r="C20" s="17"/>
      <c r="D20" s="17"/>
      <c r="E20" s="17"/>
      <c r="F20" s="17"/>
      <c r="G20" s="17"/>
      <c r="H20" s="17"/>
    </row>
    <row r="21" spans="1:8" ht="19.5" customHeight="1" x14ac:dyDescent="0.25">
      <c r="A21" s="158" t="s">
        <v>310</v>
      </c>
      <c r="B21" s="146"/>
      <c r="C21" s="146"/>
      <c r="D21" s="146"/>
      <c r="E21" s="146"/>
      <c r="F21" s="146"/>
      <c r="G21" s="146"/>
      <c r="H21" s="147"/>
    </row>
    <row r="22" spans="1:8" ht="15" customHeight="1" x14ac:dyDescent="0.25">
      <c r="A22" s="48" t="s">
        <v>22</v>
      </c>
      <c r="B22" s="48" t="s">
        <v>39</v>
      </c>
      <c r="C22" s="48" t="s">
        <v>40</v>
      </c>
      <c r="D22" s="48" t="s">
        <v>41</v>
      </c>
      <c r="E22" s="48" t="s">
        <v>42</v>
      </c>
      <c r="F22" s="48" t="s">
        <v>60</v>
      </c>
      <c r="G22" s="48" t="s">
        <v>44</v>
      </c>
      <c r="H22" s="48"/>
    </row>
    <row r="23" spans="1:8" ht="15" customHeight="1" x14ac:dyDescent="0.25">
      <c r="A23" s="49" t="s">
        <v>308</v>
      </c>
      <c r="B23" s="50" t="s">
        <v>61</v>
      </c>
      <c r="C23" s="49" t="s">
        <v>62</v>
      </c>
      <c r="D23" s="49" t="s">
        <v>50</v>
      </c>
      <c r="E23" s="51">
        <v>1475</v>
      </c>
      <c r="F23" s="49"/>
      <c r="G23" s="49"/>
      <c r="H23" s="49"/>
    </row>
    <row r="24" spans="1:8" ht="15" customHeight="1" x14ac:dyDescent="0.25">
      <c r="A24" s="52" t="s">
        <v>308</v>
      </c>
      <c r="B24" s="53" t="s">
        <v>63</v>
      </c>
      <c r="C24" s="52" t="s">
        <v>62</v>
      </c>
      <c r="D24" s="52" t="s">
        <v>50</v>
      </c>
      <c r="E24" s="54">
        <v>1300</v>
      </c>
      <c r="F24" s="52"/>
      <c r="G24" s="52"/>
      <c r="H24" s="52"/>
    </row>
    <row r="25" spans="1:8" ht="15" customHeight="1" x14ac:dyDescent="0.25">
      <c r="A25" s="49" t="s">
        <v>308</v>
      </c>
      <c r="B25" s="50" t="s">
        <v>64</v>
      </c>
      <c r="C25" s="49" t="s">
        <v>62</v>
      </c>
      <c r="D25" s="49" t="s">
        <v>50</v>
      </c>
      <c r="E25" s="51">
        <v>1500</v>
      </c>
      <c r="F25" s="49"/>
      <c r="G25" s="49"/>
      <c r="H25" s="49"/>
    </row>
    <row r="26" spans="1:8" ht="15" customHeight="1" x14ac:dyDescent="0.25">
      <c r="A26" s="52"/>
      <c r="B26" s="53"/>
      <c r="C26" s="52"/>
      <c r="D26" s="52"/>
      <c r="E26" s="54"/>
      <c r="F26" s="52"/>
      <c r="G26" s="52"/>
      <c r="H26" s="52"/>
    </row>
    <row r="27" spans="1:8" ht="15" customHeight="1" x14ac:dyDescent="0.25">
      <c r="A27" s="55"/>
      <c r="B27" s="55"/>
      <c r="C27" s="55"/>
      <c r="D27" s="55"/>
      <c r="E27" s="56"/>
      <c r="F27" s="55"/>
      <c r="G27" s="55"/>
      <c r="H27" s="55"/>
    </row>
    <row r="28" spans="1:8" ht="15" customHeight="1" x14ac:dyDescent="0.25">
      <c r="A28" s="55"/>
      <c r="B28" s="55"/>
      <c r="C28" s="55"/>
      <c r="D28" s="55"/>
      <c r="E28" s="56"/>
      <c r="F28" s="55"/>
      <c r="G28" s="55"/>
      <c r="H28" s="55"/>
    </row>
    <row r="29" spans="1:8" ht="15" customHeight="1" x14ac:dyDescent="0.25">
      <c r="A29" s="157" t="s">
        <v>66</v>
      </c>
      <c r="B29" s="152"/>
      <c r="C29" s="152"/>
      <c r="D29" s="153"/>
      <c r="E29" s="46">
        <f>SUM(E23:E28)</f>
        <v>4275</v>
      </c>
      <c r="F29" s="47"/>
      <c r="G29" s="47"/>
      <c r="H29" s="47"/>
    </row>
    <row r="30" spans="1:8" ht="15.75" customHeight="1" x14ac:dyDescent="0.25">
      <c r="A30" s="17"/>
      <c r="B30" s="17"/>
      <c r="C30" s="17"/>
      <c r="D30" s="17"/>
      <c r="E30" s="17"/>
      <c r="F30" s="17"/>
      <c r="G30" s="17"/>
      <c r="H30" s="17"/>
    </row>
    <row r="31" spans="1:8" ht="19.5" customHeight="1" x14ac:dyDescent="0.25">
      <c r="A31" s="159" t="s">
        <v>67</v>
      </c>
      <c r="B31" s="146"/>
      <c r="C31" s="146"/>
      <c r="D31" s="146"/>
      <c r="E31" s="146"/>
      <c r="F31" s="146"/>
      <c r="G31" s="146"/>
      <c r="H31" s="147"/>
    </row>
    <row r="32" spans="1:8" ht="15" customHeight="1" x14ac:dyDescent="0.25">
      <c r="A32" s="151" t="s">
        <v>68</v>
      </c>
      <c r="B32" s="152"/>
      <c r="C32" s="152"/>
      <c r="D32" s="153"/>
      <c r="E32" s="57">
        <f>E29-E19</f>
        <v>1195</v>
      </c>
      <c r="F32" s="58"/>
      <c r="G32" s="58"/>
      <c r="H32" s="58"/>
    </row>
    <row r="33" spans="1:8" ht="15" customHeight="1" x14ac:dyDescent="0.25">
      <c r="A33" s="151" t="s">
        <v>76</v>
      </c>
      <c r="B33" s="152"/>
      <c r="C33" s="152"/>
      <c r="D33" s="153"/>
      <c r="E33" s="57">
        <f>0.7*(E29-E19)</f>
        <v>836.5</v>
      </c>
      <c r="F33" s="58"/>
      <c r="G33" s="58"/>
      <c r="H33" s="58"/>
    </row>
    <row r="34" spans="1:8" ht="15" customHeight="1" x14ac:dyDescent="0.25">
      <c r="A34" s="151" t="s">
        <v>70</v>
      </c>
      <c r="B34" s="152"/>
      <c r="C34" s="152"/>
      <c r="D34" s="153"/>
      <c r="E34" s="57">
        <f>E19/6</f>
        <v>513.33333333333337</v>
      </c>
      <c r="F34" s="58"/>
      <c r="G34" s="58"/>
      <c r="H34" s="58"/>
    </row>
    <row r="35" spans="1:8" ht="15.75" customHeight="1" x14ac:dyDescent="0.25">
      <c r="A35" s="17"/>
      <c r="B35" s="17"/>
      <c r="C35" s="17"/>
      <c r="D35" s="17"/>
      <c r="E35" s="17"/>
      <c r="F35" s="17"/>
      <c r="G35" s="17"/>
      <c r="H35" s="17"/>
    </row>
    <row r="36" spans="1:8" ht="15.75" customHeight="1" x14ac:dyDescent="0.25">
      <c r="A36" s="17"/>
      <c r="B36" s="17"/>
      <c r="C36" s="17"/>
      <c r="D36" s="17"/>
      <c r="E36" s="17"/>
      <c r="F36" s="17"/>
      <c r="G36" s="17"/>
      <c r="H36" s="17"/>
    </row>
    <row r="37" spans="1:8" ht="15.75" customHeight="1" x14ac:dyDescent="0.25">
      <c r="A37" s="17"/>
      <c r="B37" s="17"/>
      <c r="C37" s="17"/>
      <c r="D37" s="17"/>
      <c r="E37" s="17"/>
      <c r="F37" s="17"/>
      <c r="G37" s="17"/>
      <c r="H37" s="17"/>
    </row>
    <row r="38" spans="1:8" ht="15.75" customHeight="1" x14ac:dyDescent="0.25">
      <c r="A38" s="17"/>
      <c r="B38" s="17"/>
      <c r="C38" s="17"/>
      <c r="D38" s="17"/>
      <c r="E38" s="17"/>
      <c r="F38" s="17"/>
      <c r="G38" s="17"/>
      <c r="H38" s="17"/>
    </row>
    <row r="39" spans="1:8" ht="15.75" customHeight="1" x14ac:dyDescent="0.25">
      <c r="A39" s="17"/>
      <c r="B39" s="17"/>
      <c r="C39" s="17"/>
      <c r="D39" s="17"/>
      <c r="E39" s="17"/>
      <c r="F39" s="17"/>
      <c r="G39" s="17"/>
      <c r="H39" s="17"/>
    </row>
    <row r="40" spans="1:8" ht="15.75" customHeight="1" x14ac:dyDescent="0.25">
      <c r="A40" s="17"/>
      <c r="B40" s="17"/>
      <c r="C40" s="17"/>
      <c r="D40" s="17"/>
      <c r="E40" s="17"/>
      <c r="F40" s="17"/>
      <c r="G40" s="17"/>
      <c r="H40" s="17"/>
    </row>
    <row r="41" spans="1:8" ht="15.75" customHeight="1" x14ac:dyDescent="0.25">
      <c r="A41" s="17"/>
      <c r="B41" s="17"/>
      <c r="C41" s="17"/>
      <c r="D41" s="17"/>
      <c r="E41" s="17"/>
      <c r="F41" s="17"/>
      <c r="G41" s="17"/>
      <c r="H41" s="17"/>
    </row>
    <row r="42" spans="1:8" ht="15.75" customHeight="1" x14ac:dyDescent="0.25">
      <c r="A42" s="17"/>
      <c r="B42" s="17"/>
      <c r="C42" s="17"/>
      <c r="D42" s="17"/>
      <c r="E42" s="17"/>
      <c r="F42" s="17"/>
      <c r="G42" s="17"/>
      <c r="H42" s="17"/>
    </row>
    <row r="43" spans="1:8" ht="15.75" customHeight="1" x14ac:dyDescent="0.25">
      <c r="A43" s="17"/>
      <c r="B43" s="17"/>
      <c r="C43" s="17"/>
      <c r="D43" s="17"/>
      <c r="E43" s="17"/>
      <c r="F43" s="17"/>
      <c r="G43" s="17"/>
      <c r="H43" s="17"/>
    </row>
    <row r="44" spans="1:8" ht="15.75" customHeight="1" x14ac:dyDescent="0.25">
      <c r="A44" s="17"/>
      <c r="B44" s="17"/>
      <c r="C44" s="17"/>
      <c r="D44" s="17"/>
      <c r="E44" s="17"/>
      <c r="F44" s="17"/>
      <c r="G44" s="17"/>
      <c r="H44" s="17"/>
    </row>
    <row r="45" spans="1:8" ht="15.75" customHeight="1" x14ac:dyDescent="0.25">
      <c r="A45" s="17"/>
      <c r="B45" s="17"/>
      <c r="C45" s="17"/>
      <c r="D45" s="17"/>
      <c r="E45" s="17"/>
      <c r="F45" s="17"/>
      <c r="G45" s="17"/>
      <c r="H45" s="17"/>
    </row>
    <row r="46" spans="1:8" ht="15.75" customHeight="1" x14ac:dyDescent="0.25">
      <c r="A46" s="17"/>
      <c r="B46" s="17"/>
      <c r="C46" s="17"/>
      <c r="D46" s="17"/>
      <c r="E46" s="17"/>
      <c r="F46" s="17"/>
      <c r="G46" s="17"/>
      <c r="H46" s="17"/>
    </row>
    <row r="47" spans="1:8" ht="15.75" customHeight="1" x14ac:dyDescent="0.25">
      <c r="A47" s="17"/>
      <c r="B47" s="17"/>
      <c r="C47" s="17"/>
      <c r="D47" s="17"/>
      <c r="E47" s="17"/>
      <c r="F47" s="17"/>
      <c r="G47" s="17"/>
      <c r="H47" s="17"/>
    </row>
    <row r="48" spans="1:8" ht="15.75" customHeight="1" x14ac:dyDescent="0.25">
      <c r="A48" s="17"/>
      <c r="B48" s="17"/>
      <c r="C48" s="17"/>
      <c r="D48" s="17"/>
      <c r="E48" s="17"/>
      <c r="F48" s="17"/>
      <c r="G48" s="17"/>
      <c r="H48" s="17"/>
    </row>
    <row r="49" spans="1:8" ht="15.75" customHeight="1" x14ac:dyDescent="0.25">
      <c r="A49" s="17"/>
      <c r="B49" s="17"/>
      <c r="C49" s="17"/>
      <c r="D49" s="17"/>
      <c r="E49" s="17"/>
      <c r="F49" s="17"/>
      <c r="G49" s="17"/>
      <c r="H49" s="17"/>
    </row>
    <row r="50" spans="1:8" ht="15.75" customHeight="1" x14ac:dyDescent="0.25">
      <c r="A50" s="17"/>
      <c r="B50" s="17"/>
      <c r="C50" s="17"/>
      <c r="D50" s="17"/>
      <c r="E50" s="17"/>
      <c r="F50" s="17"/>
      <c r="G50" s="17"/>
      <c r="H50" s="17"/>
    </row>
    <row r="51" spans="1:8" ht="15.75" customHeight="1" x14ac:dyDescent="0.25">
      <c r="A51" s="17"/>
      <c r="B51" s="17"/>
      <c r="C51" s="17"/>
      <c r="D51" s="17"/>
      <c r="E51" s="17"/>
      <c r="F51" s="17"/>
      <c r="G51" s="17"/>
      <c r="H51" s="17"/>
    </row>
    <row r="52" spans="1:8" ht="15.75" customHeight="1" x14ac:dyDescent="0.25">
      <c r="A52" s="17"/>
      <c r="B52" s="17"/>
      <c r="C52" s="17"/>
      <c r="D52" s="17"/>
      <c r="E52" s="17"/>
      <c r="F52" s="17"/>
      <c r="G52" s="17"/>
      <c r="H52" s="17"/>
    </row>
    <row r="53" spans="1:8" ht="15.75" customHeight="1" x14ac:dyDescent="0.25">
      <c r="A53" s="17"/>
      <c r="B53" s="17"/>
      <c r="C53" s="17"/>
      <c r="D53" s="17"/>
      <c r="E53" s="17"/>
      <c r="F53" s="17"/>
      <c r="G53" s="17"/>
      <c r="H53" s="17"/>
    </row>
    <row r="54" spans="1:8" ht="15.75" customHeight="1" x14ac:dyDescent="0.25">
      <c r="A54" s="17"/>
      <c r="B54" s="17"/>
      <c r="C54" s="17"/>
      <c r="D54" s="17"/>
      <c r="E54" s="17"/>
      <c r="F54" s="17"/>
      <c r="G54" s="17"/>
      <c r="H54" s="17"/>
    </row>
    <row r="55" spans="1:8" ht="15.75" customHeight="1" x14ac:dyDescent="0.25">
      <c r="A55" s="17"/>
      <c r="B55" s="17"/>
      <c r="C55" s="17"/>
      <c r="D55" s="17"/>
      <c r="E55" s="17"/>
      <c r="F55" s="17"/>
      <c r="G55" s="17"/>
      <c r="H55" s="17"/>
    </row>
    <row r="56" spans="1:8" ht="15.75" customHeight="1" x14ac:dyDescent="0.25">
      <c r="A56" s="17"/>
      <c r="B56" s="17"/>
      <c r="C56" s="17"/>
      <c r="D56" s="17"/>
      <c r="E56" s="17"/>
      <c r="F56" s="17"/>
      <c r="G56" s="17"/>
      <c r="H56" s="17"/>
    </row>
    <row r="57" spans="1:8" ht="15.75" customHeight="1" x14ac:dyDescent="0.25">
      <c r="A57" s="17"/>
      <c r="B57" s="17"/>
      <c r="C57" s="17"/>
      <c r="D57" s="17"/>
      <c r="E57" s="17"/>
      <c r="F57" s="17"/>
      <c r="G57" s="17"/>
      <c r="H57" s="17"/>
    </row>
    <row r="58" spans="1:8" ht="15.75" customHeight="1" x14ac:dyDescent="0.25">
      <c r="A58" s="17"/>
      <c r="B58" s="17"/>
      <c r="C58" s="17"/>
      <c r="D58" s="17"/>
      <c r="E58" s="17"/>
      <c r="F58" s="17"/>
      <c r="G58" s="17"/>
      <c r="H58" s="17"/>
    </row>
    <row r="59" spans="1:8" ht="15.75" customHeight="1" x14ac:dyDescent="0.25">
      <c r="A59" s="17"/>
      <c r="B59" s="17"/>
      <c r="C59" s="17"/>
      <c r="D59" s="17"/>
      <c r="E59" s="17"/>
      <c r="F59" s="17"/>
      <c r="G59" s="17"/>
      <c r="H59" s="17"/>
    </row>
    <row r="60" spans="1:8" ht="15.75" customHeight="1" x14ac:dyDescent="0.25">
      <c r="A60" s="17"/>
      <c r="B60" s="17"/>
      <c r="C60" s="17"/>
      <c r="D60" s="17"/>
      <c r="E60" s="17"/>
      <c r="F60" s="17"/>
      <c r="G60" s="17"/>
      <c r="H60" s="17"/>
    </row>
    <row r="61" spans="1:8" ht="15.75" customHeight="1" x14ac:dyDescent="0.25">
      <c r="A61" s="17"/>
      <c r="B61" s="17"/>
      <c r="C61" s="17"/>
      <c r="D61" s="17"/>
      <c r="E61" s="17"/>
      <c r="F61" s="17"/>
      <c r="G61" s="17"/>
      <c r="H61" s="17"/>
    </row>
    <row r="62" spans="1:8" ht="15.75" customHeight="1" x14ac:dyDescent="0.25">
      <c r="A62" s="17"/>
      <c r="B62" s="17"/>
      <c r="C62" s="17"/>
      <c r="D62" s="17"/>
      <c r="E62" s="17"/>
      <c r="F62" s="17"/>
      <c r="G62" s="17"/>
      <c r="H62" s="17"/>
    </row>
    <row r="63" spans="1:8" ht="15.75" customHeight="1" x14ac:dyDescent="0.25">
      <c r="A63" s="17"/>
      <c r="B63" s="17"/>
      <c r="C63" s="17"/>
      <c r="D63" s="17"/>
      <c r="E63" s="17"/>
      <c r="F63" s="17"/>
      <c r="G63" s="17"/>
      <c r="H63" s="17"/>
    </row>
    <row r="64" spans="1:8" ht="15.75" customHeight="1" x14ac:dyDescent="0.25">
      <c r="A64" s="17"/>
      <c r="B64" s="17"/>
      <c r="C64" s="17"/>
      <c r="D64" s="17"/>
      <c r="E64" s="17"/>
      <c r="F64" s="17"/>
      <c r="G64" s="17"/>
      <c r="H64" s="17"/>
    </row>
    <row r="65" spans="1:8" ht="15.75" customHeight="1" x14ac:dyDescent="0.25">
      <c r="A65" s="17"/>
      <c r="B65" s="17"/>
      <c r="C65" s="17"/>
      <c r="D65" s="17"/>
      <c r="E65" s="17"/>
      <c r="F65" s="17"/>
      <c r="G65" s="17"/>
      <c r="H65" s="17"/>
    </row>
    <row r="66" spans="1:8" ht="15.75" customHeight="1" x14ac:dyDescent="0.25">
      <c r="A66" s="17"/>
      <c r="B66" s="17"/>
      <c r="C66" s="17"/>
      <c r="D66" s="17"/>
      <c r="E66" s="17"/>
      <c r="F66" s="17"/>
      <c r="G66" s="17"/>
      <c r="H66" s="17"/>
    </row>
    <row r="67" spans="1:8" ht="15.75" customHeight="1" x14ac:dyDescent="0.25">
      <c r="A67" s="17"/>
      <c r="B67" s="17"/>
      <c r="C67" s="17"/>
      <c r="D67" s="17"/>
      <c r="E67" s="17"/>
      <c r="F67" s="17"/>
      <c r="G67" s="17"/>
      <c r="H67" s="17"/>
    </row>
    <row r="68" spans="1:8" ht="15.75" customHeight="1" x14ac:dyDescent="0.25">
      <c r="A68" s="17"/>
      <c r="B68" s="17"/>
      <c r="C68" s="17"/>
      <c r="D68" s="17"/>
      <c r="E68" s="17"/>
      <c r="F68" s="17"/>
      <c r="G68" s="17"/>
      <c r="H68" s="17"/>
    </row>
    <row r="69" spans="1:8" ht="15.75" customHeight="1" x14ac:dyDescent="0.25">
      <c r="A69" s="17"/>
      <c r="B69" s="17"/>
      <c r="C69" s="17"/>
      <c r="D69" s="17"/>
      <c r="E69" s="17"/>
      <c r="F69" s="17"/>
      <c r="G69" s="17"/>
      <c r="H69" s="17"/>
    </row>
    <row r="70" spans="1:8" ht="15.75" customHeight="1" x14ac:dyDescent="0.25">
      <c r="A70" s="17"/>
      <c r="B70" s="17"/>
      <c r="C70" s="17"/>
      <c r="D70" s="17"/>
      <c r="E70" s="17"/>
      <c r="F70" s="17"/>
      <c r="G70" s="17"/>
      <c r="H70" s="17"/>
    </row>
    <row r="71" spans="1:8" ht="15.75" customHeight="1" x14ac:dyDescent="0.25">
      <c r="A71" s="17"/>
      <c r="B71" s="17"/>
      <c r="C71" s="17"/>
      <c r="D71" s="17"/>
      <c r="E71" s="17"/>
      <c r="F71" s="17"/>
      <c r="G71" s="17"/>
      <c r="H71" s="17"/>
    </row>
    <row r="72" spans="1:8" ht="15.75" customHeight="1" x14ac:dyDescent="0.25">
      <c r="A72" s="17"/>
      <c r="B72" s="17"/>
      <c r="C72" s="17"/>
      <c r="D72" s="17"/>
      <c r="E72" s="17"/>
      <c r="F72" s="17"/>
      <c r="G72" s="17"/>
      <c r="H72" s="17"/>
    </row>
    <row r="73" spans="1:8" ht="15.75" customHeight="1" x14ac:dyDescent="0.25">
      <c r="A73" s="17"/>
      <c r="B73" s="17"/>
      <c r="C73" s="17"/>
      <c r="D73" s="17"/>
      <c r="E73" s="17"/>
      <c r="F73" s="17"/>
      <c r="G73" s="17"/>
      <c r="H73" s="17"/>
    </row>
    <row r="74" spans="1:8" ht="15.75" customHeight="1" x14ac:dyDescent="0.25">
      <c r="A74" s="17"/>
      <c r="B74" s="17"/>
      <c r="C74" s="17"/>
      <c r="D74" s="17"/>
      <c r="E74" s="17"/>
      <c r="F74" s="17"/>
      <c r="G74" s="17"/>
      <c r="H74" s="17"/>
    </row>
    <row r="75" spans="1:8" ht="15.75" customHeight="1" x14ac:dyDescent="0.25">
      <c r="A75" s="17"/>
      <c r="B75" s="17"/>
      <c r="C75" s="17"/>
      <c r="D75" s="17"/>
      <c r="E75" s="17"/>
      <c r="F75" s="17"/>
      <c r="G75" s="17"/>
      <c r="H75" s="17"/>
    </row>
    <row r="76" spans="1:8" ht="15.75" customHeight="1" x14ac:dyDescent="0.25">
      <c r="A76" s="17"/>
      <c r="B76" s="17"/>
      <c r="C76" s="17"/>
      <c r="D76" s="17"/>
      <c r="E76" s="17"/>
      <c r="F76" s="17"/>
      <c r="G76" s="17"/>
      <c r="H76" s="17"/>
    </row>
    <row r="77" spans="1:8" ht="15.75" customHeight="1" x14ac:dyDescent="0.25">
      <c r="A77" s="17"/>
      <c r="B77" s="17"/>
      <c r="C77" s="17"/>
      <c r="D77" s="17"/>
      <c r="E77" s="17"/>
      <c r="F77" s="17"/>
      <c r="G77" s="17"/>
      <c r="H77" s="17"/>
    </row>
    <row r="78" spans="1:8" ht="15.75" customHeight="1" x14ac:dyDescent="0.25">
      <c r="A78" s="17"/>
      <c r="B78" s="17"/>
      <c r="C78" s="17"/>
      <c r="D78" s="17"/>
      <c r="E78" s="17"/>
      <c r="F78" s="17"/>
      <c r="G78" s="17"/>
      <c r="H78" s="17"/>
    </row>
    <row r="79" spans="1:8" ht="15.75" customHeight="1" x14ac:dyDescent="0.25">
      <c r="A79" s="17"/>
      <c r="B79" s="17"/>
      <c r="C79" s="17"/>
      <c r="D79" s="17"/>
      <c r="E79" s="17"/>
      <c r="F79" s="17"/>
      <c r="G79" s="17"/>
      <c r="H79" s="17"/>
    </row>
    <row r="80" spans="1:8" ht="15.75" customHeight="1" x14ac:dyDescent="0.25">
      <c r="A80" s="17"/>
      <c r="B80" s="17"/>
      <c r="C80" s="17"/>
      <c r="D80" s="17"/>
      <c r="E80" s="17"/>
      <c r="F80" s="17"/>
      <c r="G80" s="17"/>
      <c r="H80" s="17"/>
    </row>
    <row r="81" spans="1:8" ht="15.75" customHeight="1" x14ac:dyDescent="0.25">
      <c r="A81" s="17"/>
      <c r="B81" s="17"/>
      <c r="C81" s="17"/>
      <c r="D81" s="17"/>
      <c r="E81" s="17"/>
      <c r="F81" s="17"/>
      <c r="G81" s="17"/>
      <c r="H81" s="17"/>
    </row>
    <row r="82" spans="1:8" ht="15.75" customHeight="1" x14ac:dyDescent="0.25">
      <c r="A82" s="17"/>
      <c r="B82" s="17"/>
      <c r="C82" s="17"/>
      <c r="D82" s="17"/>
      <c r="E82" s="17"/>
      <c r="F82" s="17"/>
      <c r="G82" s="17"/>
      <c r="H82" s="17"/>
    </row>
    <row r="83" spans="1:8" ht="15.75" customHeight="1" x14ac:dyDescent="0.25">
      <c r="A83" s="17"/>
      <c r="B83" s="17"/>
      <c r="C83" s="17"/>
      <c r="D83" s="17"/>
      <c r="E83" s="17"/>
      <c r="F83" s="17"/>
      <c r="G83" s="17"/>
      <c r="H83" s="17"/>
    </row>
    <row r="84" spans="1:8" ht="15.75" customHeight="1" x14ac:dyDescent="0.25">
      <c r="A84" s="17"/>
      <c r="B84" s="17"/>
      <c r="C84" s="17"/>
      <c r="D84" s="17"/>
      <c r="E84" s="17"/>
      <c r="F84" s="17"/>
      <c r="G84" s="17"/>
      <c r="H84" s="17"/>
    </row>
    <row r="85" spans="1:8" ht="15.75" customHeight="1" x14ac:dyDescent="0.25">
      <c r="A85" s="17"/>
      <c r="B85" s="17"/>
      <c r="C85" s="17"/>
      <c r="D85" s="17"/>
      <c r="E85" s="17"/>
      <c r="F85" s="17"/>
      <c r="G85" s="17"/>
      <c r="H85" s="17"/>
    </row>
    <row r="86" spans="1:8" ht="15.75" customHeight="1" x14ac:dyDescent="0.25">
      <c r="A86" s="17"/>
      <c r="B86" s="17"/>
      <c r="C86" s="17"/>
      <c r="D86" s="17"/>
      <c r="E86" s="17"/>
      <c r="F86" s="17"/>
      <c r="G86" s="17"/>
      <c r="H86" s="17"/>
    </row>
    <row r="87" spans="1:8" ht="15.75" customHeight="1" x14ac:dyDescent="0.25">
      <c r="A87" s="17"/>
      <c r="B87" s="17"/>
      <c r="C87" s="17"/>
      <c r="D87" s="17"/>
      <c r="E87" s="17"/>
      <c r="F87" s="17"/>
      <c r="G87" s="17"/>
      <c r="H87" s="17"/>
    </row>
    <row r="88" spans="1:8" ht="15.75" customHeight="1" x14ac:dyDescent="0.25">
      <c r="A88" s="17"/>
      <c r="B88" s="17"/>
      <c r="C88" s="17"/>
      <c r="D88" s="17"/>
      <c r="E88" s="17"/>
      <c r="F88" s="17"/>
      <c r="G88" s="17"/>
      <c r="H88" s="17"/>
    </row>
    <row r="89" spans="1:8" ht="15.75" customHeight="1" x14ac:dyDescent="0.25">
      <c r="A89" s="17"/>
      <c r="B89" s="17"/>
      <c r="C89" s="17"/>
      <c r="D89" s="17"/>
      <c r="E89" s="17"/>
      <c r="F89" s="17"/>
      <c r="G89" s="17"/>
      <c r="H89" s="17"/>
    </row>
    <row r="90" spans="1:8" ht="15.75" customHeight="1" x14ac:dyDescent="0.25">
      <c r="A90" s="17"/>
      <c r="B90" s="17"/>
      <c r="C90" s="17"/>
      <c r="D90" s="17"/>
      <c r="E90" s="17"/>
      <c r="F90" s="17"/>
      <c r="G90" s="17"/>
      <c r="H90" s="17"/>
    </row>
    <row r="91" spans="1:8" ht="15.75" customHeight="1" x14ac:dyDescent="0.25">
      <c r="A91" s="17"/>
      <c r="B91" s="17"/>
      <c r="C91" s="17"/>
      <c r="D91" s="17"/>
      <c r="E91" s="17"/>
      <c r="F91" s="17"/>
      <c r="G91" s="17"/>
      <c r="H91" s="17"/>
    </row>
    <row r="92" spans="1:8" ht="15.75" customHeight="1" x14ac:dyDescent="0.25">
      <c r="A92" s="17"/>
      <c r="B92" s="17"/>
      <c r="C92" s="17"/>
      <c r="D92" s="17"/>
      <c r="E92" s="17"/>
      <c r="F92" s="17"/>
      <c r="G92" s="17"/>
      <c r="H92" s="17"/>
    </row>
    <row r="93" spans="1:8" ht="15.75" customHeight="1" x14ac:dyDescent="0.25">
      <c r="A93" s="17"/>
      <c r="B93" s="17"/>
      <c r="C93" s="17"/>
      <c r="D93" s="17"/>
      <c r="E93" s="17"/>
      <c r="F93" s="17"/>
      <c r="G93" s="17"/>
      <c r="H93" s="17"/>
    </row>
    <row r="94" spans="1:8" ht="15.75" customHeight="1" x14ac:dyDescent="0.25">
      <c r="A94" s="17"/>
      <c r="B94" s="17"/>
      <c r="C94" s="17"/>
      <c r="D94" s="17"/>
      <c r="E94" s="17"/>
      <c r="F94" s="17"/>
      <c r="G94" s="17"/>
      <c r="H94" s="17"/>
    </row>
    <row r="95" spans="1:8" ht="15.75" customHeight="1" x14ac:dyDescent="0.25">
      <c r="A95" s="17"/>
      <c r="B95" s="17"/>
      <c r="C95" s="17"/>
      <c r="D95" s="17"/>
      <c r="E95" s="17"/>
      <c r="F95" s="17"/>
      <c r="G95" s="17"/>
      <c r="H95" s="17"/>
    </row>
    <row r="96" spans="1:8" ht="15.75" customHeight="1" x14ac:dyDescent="0.25">
      <c r="A96" s="17"/>
      <c r="B96" s="17"/>
      <c r="C96" s="17"/>
      <c r="D96" s="17"/>
      <c r="E96" s="17"/>
      <c r="F96" s="17"/>
      <c r="G96" s="17"/>
      <c r="H96" s="17"/>
    </row>
    <row r="97" spans="1:8" ht="15.75" customHeight="1" x14ac:dyDescent="0.25">
      <c r="A97" s="17"/>
      <c r="B97" s="17"/>
      <c r="C97" s="17"/>
      <c r="D97" s="17"/>
      <c r="E97" s="17"/>
      <c r="F97" s="17"/>
      <c r="G97" s="17"/>
      <c r="H97" s="17"/>
    </row>
    <row r="98" spans="1:8" ht="15.75" customHeight="1" x14ac:dyDescent="0.25">
      <c r="A98" s="17"/>
      <c r="B98" s="17"/>
      <c r="C98" s="17"/>
      <c r="D98" s="17"/>
      <c r="E98" s="17"/>
      <c r="F98" s="17"/>
      <c r="G98" s="17"/>
      <c r="H98" s="17"/>
    </row>
    <row r="99" spans="1:8" ht="15.75" customHeight="1" x14ac:dyDescent="0.25">
      <c r="A99" s="17"/>
      <c r="B99" s="17"/>
      <c r="C99" s="17"/>
      <c r="D99" s="17"/>
      <c r="E99" s="17"/>
      <c r="F99" s="17"/>
      <c r="G99" s="17"/>
      <c r="H99" s="17"/>
    </row>
    <row r="100" spans="1:8" ht="15.75" customHeight="1" x14ac:dyDescent="0.25">
      <c r="A100" s="17"/>
      <c r="B100" s="17"/>
      <c r="C100" s="17"/>
      <c r="D100" s="17"/>
      <c r="E100" s="17"/>
      <c r="F100" s="17"/>
      <c r="G100" s="17"/>
      <c r="H100" s="17"/>
    </row>
  </sheetData>
  <mergeCells count="19">
    <mergeCell ref="A1:H1"/>
    <mergeCell ref="A2:B2"/>
    <mergeCell ref="C2:D2"/>
    <mergeCell ref="E2:F2"/>
    <mergeCell ref="G2:H2"/>
    <mergeCell ref="A5:H5"/>
    <mergeCell ref="A32:D32"/>
    <mergeCell ref="A33:D33"/>
    <mergeCell ref="A34:D34"/>
    <mergeCell ref="C3:D3"/>
    <mergeCell ref="A17:D17"/>
    <mergeCell ref="A18:D18"/>
    <mergeCell ref="A19:D19"/>
    <mergeCell ref="A21:H21"/>
    <mergeCell ref="A29:D29"/>
    <mergeCell ref="A31:H31"/>
    <mergeCell ref="E3:F3"/>
    <mergeCell ref="G3:H3"/>
    <mergeCell ref="A3:B3"/>
  </mergeCells>
  <pageMargins left="0.75" right="0.75" top="1" bottom="1" header="0" footer="0"/>
  <pageSetup paperSize="9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2E86AB"/>
  </sheetPr>
  <dimension ref="A1:H100"/>
  <sheetViews>
    <sheetView workbookViewId="0">
      <selection sqref="A1:H1"/>
    </sheetView>
  </sheetViews>
  <sheetFormatPr defaultColWidth="14.42578125" defaultRowHeight="15" customHeight="1" x14ac:dyDescent="0.25"/>
  <cols>
    <col min="1" max="1" width="10" customWidth="1"/>
    <col min="2" max="2" width="26" customWidth="1"/>
    <col min="3" max="7" width="16" customWidth="1"/>
    <col min="8" max="8" width="20" customWidth="1"/>
  </cols>
  <sheetData>
    <row r="1" spans="1:8" ht="27.75" customHeight="1" x14ac:dyDescent="0.25">
      <c r="A1" s="163" t="s">
        <v>311</v>
      </c>
      <c r="B1" s="146"/>
      <c r="C1" s="146"/>
      <c r="D1" s="146"/>
      <c r="E1" s="146"/>
      <c r="F1" s="146"/>
      <c r="G1" s="146"/>
      <c r="H1" s="147"/>
    </row>
    <row r="2" spans="1:8" ht="18" customHeight="1" x14ac:dyDescent="0.25">
      <c r="A2" s="164" t="s">
        <v>34</v>
      </c>
      <c r="B2" s="147"/>
      <c r="C2" s="164" t="s">
        <v>35</v>
      </c>
      <c r="D2" s="147"/>
      <c r="E2" s="164" t="s">
        <v>36</v>
      </c>
      <c r="F2" s="147"/>
      <c r="G2" s="164" t="s">
        <v>37</v>
      </c>
      <c r="H2" s="147"/>
    </row>
    <row r="3" spans="1:8" ht="21.75" customHeight="1" x14ac:dyDescent="0.25">
      <c r="A3" s="162">
        <f>E29</f>
        <v>4275</v>
      </c>
      <c r="B3" s="147"/>
      <c r="C3" s="154">
        <f>E19</f>
        <v>3967.4235647135961</v>
      </c>
      <c r="D3" s="147"/>
      <c r="E3" s="160">
        <f>E29-E19</f>
        <v>307.57643528640392</v>
      </c>
      <c r="F3" s="147"/>
      <c r="G3" s="161">
        <f>IF(E29&gt;0,(E29-E19)/E29,0)</f>
        <v>7.1947704160562315E-2</v>
      </c>
      <c r="H3" s="147"/>
    </row>
    <row r="4" spans="1:8" ht="14.25" customHeight="1" x14ac:dyDescent="0.25">
      <c r="A4" s="17"/>
      <c r="B4" s="17"/>
      <c r="C4" s="17"/>
      <c r="D4" s="17"/>
      <c r="E4" s="17"/>
      <c r="F4" s="17"/>
      <c r="G4" s="17"/>
      <c r="H4" s="17"/>
    </row>
    <row r="5" spans="1:8" ht="19.5" customHeight="1" x14ac:dyDescent="0.25">
      <c r="A5" s="150" t="s">
        <v>312</v>
      </c>
      <c r="B5" s="146"/>
      <c r="C5" s="146"/>
      <c r="D5" s="146"/>
      <c r="E5" s="146"/>
      <c r="F5" s="146"/>
      <c r="G5" s="146"/>
      <c r="H5" s="147"/>
    </row>
    <row r="6" spans="1:8" ht="15" customHeight="1" x14ac:dyDescent="0.25">
      <c r="A6" s="36" t="s">
        <v>22</v>
      </c>
      <c r="B6" s="36" t="s">
        <v>39</v>
      </c>
      <c r="C6" s="36" t="s">
        <v>40</v>
      </c>
      <c r="D6" s="36" t="s">
        <v>41</v>
      </c>
      <c r="E6" s="36" t="s">
        <v>42</v>
      </c>
      <c r="F6" s="36" t="s">
        <v>43</v>
      </c>
      <c r="G6" s="36" t="s">
        <v>44</v>
      </c>
      <c r="H6" s="36"/>
    </row>
    <row r="7" spans="1:8" ht="15" customHeight="1" x14ac:dyDescent="0.25">
      <c r="A7" s="37" t="s">
        <v>313</v>
      </c>
      <c r="B7" s="38" t="s">
        <v>46</v>
      </c>
      <c r="C7" s="37" t="s">
        <v>167</v>
      </c>
      <c r="D7" s="37" t="s">
        <v>48</v>
      </c>
      <c r="E7" s="39">
        <v>86</v>
      </c>
      <c r="F7" s="37"/>
      <c r="G7" s="37"/>
      <c r="H7" s="37"/>
    </row>
    <row r="8" spans="1:8" ht="15" customHeight="1" x14ac:dyDescent="0.25">
      <c r="A8" s="40" t="s">
        <v>313</v>
      </c>
      <c r="B8" s="41" t="s">
        <v>49</v>
      </c>
      <c r="C8" s="40"/>
      <c r="D8" s="40" t="s">
        <v>50</v>
      </c>
      <c r="E8" s="42">
        <v>216</v>
      </c>
      <c r="F8" s="40"/>
      <c r="G8" s="40"/>
      <c r="H8" s="40"/>
    </row>
    <row r="9" spans="1:8" ht="15" customHeight="1" x14ac:dyDescent="0.25">
      <c r="A9" s="37" t="s">
        <v>313</v>
      </c>
      <c r="B9" s="38" t="s">
        <v>51</v>
      </c>
      <c r="C9" s="37"/>
      <c r="D9" s="37" t="s">
        <v>50</v>
      </c>
      <c r="E9" s="39">
        <v>230</v>
      </c>
      <c r="F9" s="37"/>
      <c r="G9" s="37"/>
      <c r="H9" s="37"/>
    </row>
    <row r="10" spans="1:8" ht="15" customHeight="1" x14ac:dyDescent="0.25">
      <c r="A10" s="40" t="s">
        <v>313</v>
      </c>
      <c r="B10" s="41" t="s">
        <v>52</v>
      </c>
      <c r="C10" s="40"/>
      <c r="D10" s="40" t="s">
        <v>50</v>
      </c>
      <c r="E10" s="42">
        <v>95</v>
      </c>
      <c r="F10" s="40"/>
      <c r="G10" s="40"/>
      <c r="H10" s="40"/>
    </row>
    <row r="11" spans="1:8" ht="15" customHeight="1" x14ac:dyDescent="0.25">
      <c r="A11" s="37" t="s">
        <v>313</v>
      </c>
      <c r="B11" s="38" t="s">
        <v>53</v>
      </c>
      <c r="C11" s="37"/>
      <c r="D11" s="37" t="s">
        <v>50</v>
      </c>
      <c r="E11" s="39">
        <v>120</v>
      </c>
      <c r="F11" s="37"/>
      <c r="G11" s="37"/>
      <c r="H11" s="37"/>
    </row>
    <row r="12" spans="1:8" ht="15" customHeight="1" x14ac:dyDescent="0.25">
      <c r="A12" s="40" t="s">
        <v>313</v>
      </c>
      <c r="B12" s="41" t="s">
        <v>54</v>
      </c>
      <c r="C12" s="40"/>
      <c r="D12" s="40" t="s">
        <v>50</v>
      </c>
      <c r="E12" s="42">
        <v>288</v>
      </c>
      <c r="F12" s="40"/>
      <c r="G12" s="40"/>
      <c r="H12" s="40"/>
    </row>
    <row r="13" spans="1:8" ht="15" customHeight="1" x14ac:dyDescent="0.25">
      <c r="A13" s="37" t="s">
        <v>313</v>
      </c>
      <c r="B13" s="38" t="s">
        <v>55</v>
      </c>
      <c r="C13" s="37"/>
      <c r="D13" s="37" t="s">
        <v>50</v>
      </c>
      <c r="E13" s="39">
        <v>135</v>
      </c>
      <c r="F13" s="37"/>
      <c r="G13" s="37"/>
      <c r="H13" s="37"/>
    </row>
    <row r="14" spans="1:8" ht="15" customHeight="1" x14ac:dyDescent="0.25">
      <c r="A14" s="40" t="s">
        <v>313</v>
      </c>
      <c r="B14" s="40" t="s">
        <v>126</v>
      </c>
      <c r="C14" s="31"/>
      <c r="D14" s="40" t="s">
        <v>50</v>
      </c>
      <c r="E14" s="107">
        <f>'💳 Empréstimo'!F47</f>
        <v>1447.4235647135961</v>
      </c>
      <c r="F14" s="31"/>
      <c r="G14" s="40" t="s">
        <v>314</v>
      </c>
      <c r="H14" s="31"/>
    </row>
    <row r="15" spans="1:8" ht="15" customHeight="1" x14ac:dyDescent="0.25">
      <c r="A15" s="31"/>
      <c r="B15" s="31"/>
      <c r="C15" s="31"/>
      <c r="D15" s="31"/>
      <c r="E15" s="29"/>
      <c r="F15" s="31"/>
      <c r="G15" s="31"/>
      <c r="H15" s="31"/>
    </row>
    <row r="16" spans="1:8" ht="15" customHeight="1" x14ac:dyDescent="0.25">
      <c r="A16" s="31"/>
      <c r="B16" s="31"/>
      <c r="C16" s="31"/>
      <c r="D16" s="31"/>
      <c r="E16" s="29"/>
      <c r="F16" s="31"/>
      <c r="G16" s="31"/>
      <c r="H16" s="31"/>
    </row>
    <row r="17" spans="1:8" ht="15" customHeight="1" x14ac:dyDescent="0.25">
      <c r="A17" s="155" t="s">
        <v>56</v>
      </c>
      <c r="B17" s="152"/>
      <c r="C17" s="152"/>
      <c r="D17" s="153"/>
      <c r="E17" s="43">
        <f>SUM(E7:E16)</f>
        <v>2617.4235647135961</v>
      </c>
      <c r="F17" s="44"/>
      <c r="G17" s="44"/>
      <c r="H17" s="44"/>
    </row>
    <row r="18" spans="1:8" ht="15" customHeight="1" x14ac:dyDescent="0.25">
      <c r="A18" s="156" t="s">
        <v>57</v>
      </c>
      <c r="B18" s="152"/>
      <c r="C18" s="152"/>
      <c r="D18" s="153"/>
      <c r="E18" s="45">
        <v>1350</v>
      </c>
      <c r="F18" s="44"/>
      <c r="G18" s="44"/>
      <c r="H18" s="44"/>
    </row>
    <row r="19" spans="1:8" ht="15" customHeight="1" x14ac:dyDescent="0.25">
      <c r="A19" s="157" t="s">
        <v>58</v>
      </c>
      <c r="B19" s="152"/>
      <c r="C19" s="152"/>
      <c r="D19" s="153"/>
      <c r="E19" s="46">
        <f>E17+E18</f>
        <v>3967.4235647135961</v>
      </c>
      <c r="F19" s="47"/>
      <c r="G19" s="47"/>
      <c r="H19" s="47"/>
    </row>
    <row r="20" spans="1:8" ht="14.25" customHeight="1" x14ac:dyDescent="0.25">
      <c r="A20" s="17"/>
      <c r="B20" s="17"/>
      <c r="C20" s="17"/>
      <c r="D20" s="17"/>
      <c r="E20" s="17"/>
      <c r="F20" s="17"/>
      <c r="G20" s="17"/>
      <c r="H20" s="17"/>
    </row>
    <row r="21" spans="1:8" ht="19.5" customHeight="1" x14ac:dyDescent="0.25">
      <c r="A21" s="158" t="s">
        <v>315</v>
      </c>
      <c r="B21" s="146"/>
      <c r="C21" s="146"/>
      <c r="D21" s="146"/>
      <c r="E21" s="146"/>
      <c r="F21" s="146"/>
      <c r="G21" s="146"/>
      <c r="H21" s="147"/>
    </row>
    <row r="22" spans="1:8" ht="15" customHeight="1" x14ac:dyDescent="0.25">
      <c r="A22" s="48" t="s">
        <v>22</v>
      </c>
      <c r="B22" s="48" t="s">
        <v>39</v>
      </c>
      <c r="C22" s="48" t="s">
        <v>40</v>
      </c>
      <c r="D22" s="48" t="s">
        <v>41</v>
      </c>
      <c r="E22" s="48" t="s">
        <v>42</v>
      </c>
      <c r="F22" s="48" t="s">
        <v>60</v>
      </c>
      <c r="G22" s="48" t="s">
        <v>44</v>
      </c>
      <c r="H22" s="48"/>
    </row>
    <row r="23" spans="1:8" ht="15" customHeight="1" x14ac:dyDescent="0.25">
      <c r="A23" s="49" t="s">
        <v>313</v>
      </c>
      <c r="B23" s="50" t="s">
        <v>61</v>
      </c>
      <c r="C23" s="49" t="s">
        <v>62</v>
      </c>
      <c r="D23" s="49" t="s">
        <v>50</v>
      </c>
      <c r="E23" s="51">
        <v>1475</v>
      </c>
      <c r="F23" s="49"/>
      <c r="G23" s="49"/>
      <c r="H23" s="49"/>
    </row>
    <row r="24" spans="1:8" ht="15" customHeight="1" x14ac:dyDescent="0.25">
      <c r="A24" s="52" t="s">
        <v>313</v>
      </c>
      <c r="B24" s="53" t="s">
        <v>63</v>
      </c>
      <c r="C24" s="52" t="s">
        <v>62</v>
      </c>
      <c r="D24" s="52" t="s">
        <v>50</v>
      </c>
      <c r="E24" s="54">
        <v>1300</v>
      </c>
      <c r="F24" s="52"/>
      <c r="G24" s="52"/>
      <c r="H24" s="52"/>
    </row>
    <row r="25" spans="1:8" ht="15" customHeight="1" x14ac:dyDescent="0.25">
      <c r="A25" s="49" t="s">
        <v>313</v>
      </c>
      <c r="B25" s="50" t="s">
        <v>64</v>
      </c>
      <c r="C25" s="49" t="s">
        <v>62</v>
      </c>
      <c r="D25" s="49" t="s">
        <v>50</v>
      </c>
      <c r="E25" s="51">
        <v>1500</v>
      </c>
      <c r="F25" s="49"/>
      <c r="G25" s="49"/>
      <c r="H25" s="49"/>
    </row>
    <row r="26" spans="1:8" ht="15" customHeight="1" x14ac:dyDescent="0.25">
      <c r="A26" s="52"/>
      <c r="B26" s="53"/>
      <c r="C26" s="52"/>
      <c r="D26" s="52"/>
      <c r="E26" s="54"/>
      <c r="F26" s="52"/>
      <c r="G26" s="52"/>
      <c r="H26" s="52"/>
    </row>
    <row r="27" spans="1:8" ht="15" customHeight="1" x14ac:dyDescent="0.25">
      <c r="A27" s="55"/>
      <c r="B27" s="55"/>
      <c r="C27" s="55"/>
      <c r="D27" s="55"/>
      <c r="E27" s="56"/>
      <c r="F27" s="55"/>
      <c r="G27" s="55"/>
      <c r="H27" s="55"/>
    </row>
    <row r="28" spans="1:8" ht="15" customHeight="1" x14ac:dyDescent="0.25">
      <c r="A28" s="55"/>
      <c r="B28" s="55"/>
      <c r="C28" s="55"/>
      <c r="D28" s="55"/>
      <c r="E28" s="56"/>
      <c r="F28" s="55"/>
      <c r="G28" s="55"/>
      <c r="H28" s="55"/>
    </row>
    <row r="29" spans="1:8" ht="15" customHeight="1" x14ac:dyDescent="0.25">
      <c r="A29" s="157" t="s">
        <v>66</v>
      </c>
      <c r="B29" s="152"/>
      <c r="C29" s="152"/>
      <c r="D29" s="153"/>
      <c r="E29" s="46">
        <f>SUM(E23:E28)</f>
        <v>4275</v>
      </c>
      <c r="F29" s="47"/>
      <c r="G29" s="47"/>
      <c r="H29" s="47"/>
    </row>
    <row r="30" spans="1:8" ht="15.75" customHeight="1" x14ac:dyDescent="0.25">
      <c r="A30" s="17"/>
      <c r="B30" s="17"/>
      <c r="C30" s="17"/>
      <c r="D30" s="17"/>
      <c r="E30" s="17"/>
      <c r="F30" s="17"/>
      <c r="G30" s="17"/>
      <c r="H30" s="17"/>
    </row>
    <row r="31" spans="1:8" ht="19.5" customHeight="1" x14ac:dyDescent="0.25">
      <c r="A31" s="159" t="s">
        <v>67</v>
      </c>
      <c r="B31" s="146"/>
      <c r="C31" s="146"/>
      <c r="D31" s="146"/>
      <c r="E31" s="146"/>
      <c r="F31" s="146"/>
      <c r="G31" s="146"/>
      <c r="H31" s="147"/>
    </row>
    <row r="32" spans="1:8" ht="15" customHeight="1" x14ac:dyDescent="0.25">
      <c r="A32" s="151" t="s">
        <v>68</v>
      </c>
      <c r="B32" s="152"/>
      <c r="C32" s="152"/>
      <c r="D32" s="153"/>
      <c r="E32" s="57">
        <f>E29-E19</f>
        <v>307.57643528640392</v>
      </c>
      <c r="F32" s="58"/>
      <c r="G32" s="58"/>
      <c r="H32" s="58"/>
    </row>
    <row r="33" spans="1:8" ht="15" customHeight="1" x14ac:dyDescent="0.25">
      <c r="A33" s="151" t="s">
        <v>76</v>
      </c>
      <c r="B33" s="152"/>
      <c r="C33" s="152"/>
      <c r="D33" s="153"/>
      <c r="E33" s="57">
        <f>0.7*(E29-E19)</f>
        <v>215.30350470048273</v>
      </c>
      <c r="F33" s="58"/>
      <c r="G33" s="58"/>
      <c r="H33" s="58"/>
    </row>
    <row r="34" spans="1:8" ht="15" customHeight="1" x14ac:dyDescent="0.25">
      <c r="A34" s="151" t="s">
        <v>70</v>
      </c>
      <c r="B34" s="152"/>
      <c r="C34" s="152"/>
      <c r="D34" s="153"/>
      <c r="E34" s="57">
        <f>E19/6</f>
        <v>661.23726078559935</v>
      </c>
      <c r="F34" s="58"/>
      <c r="G34" s="58"/>
      <c r="H34" s="58"/>
    </row>
    <row r="35" spans="1:8" ht="15.75" customHeight="1" x14ac:dyDescent="0.25">
      <c r="A35" s="17"/>
      <c r="B35" s="17"/>
      <c r="C35" s="17"/>
      <c r="D35" s="17"/>
      <c r="E35" s="17"/>
      <c r="F35" s="17"/>
      <c r="G35" s="17"/>
      <c r="H35" s="17"/>
    </row>
    <row r="36" spans="1:8" ht="15.75" customHeight="1" x14ac:dyDescent="0.25">
      <c r="A36" s="17"/>
      <c r="B36" s="17"/>
      <c r="C36" s="17"/>
      <c r="D36" s="17"/>
      <c r="E36" s="17"/>
      <c r="F36" s="17"/>
      <c r="G36" s="17"/>
      <c r="H36" s="17"/>
    </row>
    <row r="37" spans="1:8" ht="15.75" customHeight="1" x14ac:dyDescent="0.25">
      <c r="A37" s="17"/>
      <c r="B37" s="17"/>
      <c r="C37" s="17"/>
      <c r="D37" s="17"/>
      <c r="E37" s="17"/>
      <c r="F37" s="17"/>
      <c r="G37" s="17"/>
      <c r="H37" s="17"/>
    </row>
    <row r="38" spans="1:8" ht="15.75" customHeight="1" x14ac:dyDescent="0.25">
      <c r="A38" s="17"/>
      <c r="B38" s="17"/>
      <c r="C38" s="17"/>
      <c r="D38" s="17"/>
      <c r="E38" s="17"/>
      <c r="F38" s="17"/>
      <c r="G38" s="17"/>
      <c r="H38" s="17"/>
    </row>
    <row r="39" spans="1:8" ht="15.75" customHeight="1" x14ac:dyDescent="0.25">
      <c r="A39" s="17"/>
      <c r="B39" s="17"/>
      <c r="C39" s="17"/>
      <c r="D39" s="17"/>
      <c r="E39" s="17"/>
      <c r="F39" s="17"/>
      <c r="G39" s="17"/>
      <c r="H39" s="17"/>
    </row>
    <row r="40" spans="1:8" ht="15.75" customHeight="1" x14ac:dyDescent="0.25">
      <c r="A40" s="17"/>
      <c r="B40" s="17"/>
      <c r="C40" s="17"/>
      <c r="D40" s="17"/>
      <c r="E40" s="17"/>
      <c r="F40" s="17"/>
      <c r="G40" s="17"/>
      <c r="H40" s="17"/>
    </row>
    <row r="41" spans="1:8" ht="15.75" customHeight="1" x14ac:dyDescent="0.25">
      <c r="A41" s="17"/>
      <c r="B41" s="17"/>
      <c r="C41" s="17"/>
      <c r="D41" s="17"/>
      <c r="E41" s="17"/>
      <c r="F41" s="17"/>
      <c r="G41" s="17"/>
      <c r="H41" s="17"/>
    </row>
    <row r="42" spans="1:8" ht="15.75" customHeight="1" x14ac:dyDescent="0.25">
      <c r="A42" s="17"/>
      <c r="B42" s="17"/>
      <c r="C42" s="17"/>
      <c r="D42" s="17"/>
      <c r="E42" s="17"/>
      <c r="F42" s="17"/>
      <c r="G42" s="17"/>
      <c r="H42" s="17"/>
    </row>
    <row r="43" spans="1:8" ht="15.75" customHeight="1" x14ac:dyDescent="0.25">
      <c r="A43" s="17"/>
      <c r="B43" s="17"/>
      <c r="C43" s="17"/>
      <c r="D43" s="17"/>
      <c r="E43" s="17"/>
      <c r="F43" s="17"/>
      <c r="G43" s="17"/>
      <c r="H43" s="17"/>
    </row>
    <row r="44" spans="1:8" ht="15.75" customHeight="1" x14ac:dyDescent="0.25">
      <c r="A44" s="17"/>
      <c r="B44" s="17"/>
      <c r="C44" s="17"/>
      <c r="D44" s="17"/>
      <c r="E44" s="17"/>
      <c r="F44" s="17"/>
      <c r="G44" s="17"/>
      <c r="H44" s="17"/>
    </row>
    <row r="45" spans="1:8" ht="15.75" customHeight="1" x14ac:dyDescent="0.25">
      <c r="A45" s="17"/>
      <c r="B45" s="17"/>
      <c r="C45" s="17"/>
      <c r="D45" s="17"/>
      <c r="E45" s="17"/>
      <c r="F45" s="17"/>
      <c r="G45" s="17"/>
      <c r="H45" s="17"/>
    </row>
    <row r="46" spans="1:8" ht="15.75" customHeight="1" x14ac:dyDescent="0.25">
      <c r="A46" s="17"/>
      <c r="B46" s="17"/>
      <c r="C46" s="17"/>
      <c r="D46" s="17"/>
      <c r="E46" s="17"/>
      <c r="F46" s="17"/>
      <c r="G46" s="17"/>
      <c r="H46" s="17"/>
    </row>
    <row r="47" spans="1:8" ht="15.75" customHeight="1" x14ac:dyDescent="0.25">
      <c r="A47" s="17"/>
      <c r="B47" s="17"/>
      <c r="C47" s="17"/>
      <c r="D47" s="17"/>
      <c r="E47" s="17"/>
      <c r="F47" s="17"/>
      <c r="G47" s="17"/>
      <c r="H47" s="17"/>
    </row>
    <row r="48" spans="1:8" ht="15.75" customHeight="1" x14ac:dyDescent="0.25">
      <c r="A48" s="17"/>
      <c r="B48" s="17"/>
      <c r="C48" s="17"/>
      <c r="D48" s="17"/>
      <c r="E48" s="17"/>
      <c r="F48" s="17"/>
      <c r="G48" s="17"/>
      <c r="H48" s="17"/>
    </row>
    <row r="49" spans="1:8" ht="15.75" customHeight="1" x14ac:dyDescent="0.25">
      <c r="A49" s="17"/>
      <c r="B49" s="17"/>
      <c r="C49" s="17"/>
      <c r="D49" s="17"/>
      <c r="E49" s="17"/>
      <c r="F49" s="17"/>
      <c r="G49" s="17"/>
      <c r="H49" s="17"/>
    </row>
    <row r="50" spans="1:8" ht="15.75" customHeight="1" x14ac:dyDescent="0.25">
      <c r="A50" s="17"/>
      <c r="B50" s="17"/>
      <c r="C50" s="17"/>
      <c r="D50" s="17"/>
      <c r="E50" s="17"/>
      <c r="F50" s="17"/>
      <c r="G50" s="17"/>
      <c r="H50" s="17"/>
    </row>
    <row r="51" spans="1:8" ht="15.75" customHeight="1" x14ac:dyDescent="0.25">
      <c r="A51" s="17"/>
      <c r="B51" s="17"/>
      <c r="C51" s="17"/>
      <c r="D51" s="17"/>
      <c r="E51" s="17"/>
      <c r="F51" s="17"/>
      <c r="G51" s="17"/>
      <c r="H51" s="17"/>
    </row>
    <row r="52" spans="1:8" ht="15.75" customHeight="1" x14ac:dyDescent="0.25">
      <c r="A52" s="17"/>
      <c r="B52" s="17"/>
      <c r="C52" s="17"/>
      <c r="D52" s="17"/>
      <c r="E52" s="17"/>
      <c r="F52" s="17"/>
      <c r="G52" s="17"/>
      <c r="H52" s="17"/>
    </row>
    <row r="53" spans="1:8" ht="15.75" customHeight="1" x14ac:dyDescent="0.25">
      <c r="A53" s="17"/>
      <c r="B53" s="17"/>
      <c r="C53" s="17"/>
      <c r="D53" s="17"/>
      <c r="E53" s="17"/>
      <c r="F53" s="17"/>
      <c r="G53" s="17"/>
      <c r="H53" s="17"/>
    </row>
    <row r="54" spans="1:8" ht="15.75" customHeight="1" x14ac:dyDescent="0.25">
      <c r="A54" s="17"/>
      <c r="B54" s="17"/>
      <c r="C54" s="17"/>
      <c r="D54" s="17"/>
      <c r="E54" s="17"/>
      <c r="F54" s="17"/>
      <c r="G54" s="17"/>
      <c r="H54" s="17"/>
    </row>
    <row r="55" spans="1:8" ht="15.75" customHeight="1" x14ac:dyDescent="0.25">
      <c r="A55" s="17"/>
      <c r="B55" s="17"/>
      <c r="C55" s="17"/>
      <c r="D55" s="17"/>
      <c r="E55" s="17"/>
      <c r="F55" s="17"/>
      <c r="G55" s="17"/>
      <c r="H55" s="17"/>
    </row>
    <row r="56" spans="1:8" ht="15.75" customHeight="1" x14ac:dyDescent="0.25">
      <c r="A56" s="17"/>
      <c r="B56" s="17"/>
      <c r="C56" s="17"/>
      <c r="D56" s="17"/>
      <c r="E56" s="17"/>
      <c r="F56" s="17"/>
      <c r="G56" s="17"/>
      <c r="H56" s="17"/>
    </row>
    <row r="57" spans="1:8" ht="15.75" customHeight="1" x14ac:dyDescent="0.25">
      <c r="A57" s="17"/>
      <c r="B57" s="17"/>
      <c r="C57" s="17"/>
      <c r="D57" s="17"/>
      <c r="E57" s="17"/>
      <c r="F57" s="17"/>
      <c r="G57" s="17"/>
      <c r="H57" s="17"/>
    </row>
    <row r="58" spans="1:8" ht="15.75" customHeight="1" x14ac:dyDescent="0.25">
      <c r="A58" s="17"/>
      <c r="B58" s="17"/>
      <c r="C58" s="17"/>
      <c r="D58" s="17"/>
      <c r="E58" s="17"/>
      <c r="F58" s="17"/>
      <c r="G58" s="17"/>
      <c r="H58" s="17"/>
    </row>
    <row r="59" spans="1:8" ht="15.75" customHeight="1" x14ac:dyDescent="0.25">
      <c r="A59" s="17"/>
      <c r="B59" s="17"/>
      <c r="C59" s="17"/>
      <c r="D59" s="17"/>
      <c r="E59" s="17"/>
      <c r="F59" s="17"/>
      <c r="G59" s="17"/>
      <c r="H59" s="17"/>
    </row>
    <row r="60" spans="1:8" ht="15.75" customHeight="1" x14ac:dyDescent="0.25">
      <c r="A60" s="17"/>
      <c r="B60" s="17"/>
      <c r="C60" s="17"/>
      <c r="D60" s="17"/>
      <c r="E60" s="17"/>
      <c r="F60" s="17"/>
      <c r="G60" s="17"/>
      <c r="H60" s="17"/>
    </row>
    <row r="61" spans="1:8" ht="15.75" customHeight="1" x14ac:dyDescent="0.25">
      <c r="A61" s="17"/>
      <c r="B61" s="17"/>
      <c r="C61" s="17"/>
      <c r="D61" s="17"/>
      <c r="E61" s="17"/>
      <c r="F61" s="17"/>
      <c r="G61" s="17"/>
      <c r="H61" s="17"/>
    </row>
    <row r="62" spans="1:8" ht="15.75" customHeight="1" x14ac:dyDescent="0.25">
      <c r="A62" s="17"/>
      <c r="B62" s="17"/>
      <c r="C62" s="17"/>
      <c r="D62" s="17"/>
      <c r="E62" s="17"/>
      <c r="F62" s="17"/>
      <c r="G62" s="17"/>
      <c r="H62" s="17"/>
    </row>
    <row r="63" spans="1:8" ht="15.75" customHeight="1" x14ac:dyDescent="0.25">
      <c r="A63" s="17"/>
      <c r="B63" s="17"/>
      <c r="C63" s="17"/>
      <c r="D63" s="17"/>
      <c r="E63" s="17"/>
      <c r="F63" s="17"/>
      <c r="G63" s="17"/>
      <c r="H63" s="17"/>
    </row>
    <row r="64" spans="1:8" ht="15.75" customHeight="1" x14ac:dyDescent="0.25">
      <c r="A64" s="17"/>
      <c r="B64" s="17"/>
      <c r="C64" s="17"/>
      <c r="D64" s="17"/>
      <c r="E64" s="17"/>
      <c r="F64" s="17"/>
      <c r="G64" s="17"/>
      <c r="H64" s="17"/>
    </row>
    <row r="65" spans="1:8" ht="15.75" customHeight="1" x14ac:dyDescent="0.25">
      <c r="A65" s="17"/>
      <c r="B65" s="17"/>
      <c r="C65" s="17"/>
      <c r="D65" s="17"/>
      <c r="E65" s="17"/>
      <c r="F65" s="17"/>
      <c r="G65" s="17"/>
      <c r="H65" s="17"/>
    </row>
    <row r="66" spans="1:8" ht="15.75" customHeight="1" x14ac:dyDescent="0.25">
      <c r="A66" s="17"/>
      <c r="B66" s="17"/>
      <c r="C66" s="17"/>
      <c r="D66" s="17"/>
      <c r="E66" s="17"/>
      <c r="F66" s="17"/>
      <c r="G66" s="17"/>
      <c r="H66" s="17"/>
    </row>
    <row r="67" spans="1:8" ht="15.75" customHeight="1" x14ac:dyDescent="0.25">
      <c r="A67" s="17"/>
      <c r="B67" s="17"/>
      <c r="C67" s="17"/>
      <c r="D67" s="17"/>
      <c r="E67" s="17"/>
      <c r="F67" s="17"/>
      <c r="G67" s="17"/>
      <c r="H67" s="17"/>
    </row>
    <row r="68" spans="1:8" ht="15.75" customHeight="1" x14ac:dyDescent="0.25">
      <c r="A68" s="17"/>
      <c r="B68" s="17"/>
      <c r="C68" s="17"/>
      <c r="D68" s="17"/>
      <c r="E68" s="17"/>
      <c r="F68" s="17"/>
      <c r="G68" s="17"/>
      <c r="H68" s="17"/>
    </row>
    <row r="69" spans="1:8" ht="15.75" customHeight="1" x14ac:dyDescent="0.25">
      <c r="A69" s="17"/>
      <c r="B69" s="17"/>
      <c r="C69" s="17"/>
      <c r="D69" s="17"/>
      <c r="E69" s="17"/>
      <c r="F69" s="17"/>
      <c r="G69" s="17"/>
      <c r="H69" s="17"/>
    </row>
    <row r="70" spans="1:8" ht="15.75" customHeight="1" x14ac:dyDescent="0.25">
      <c r="A70" s="17"/>
      <c r="B70" s="17"/>
      <c r="C70" s="17"/>
      <c r="D70" s="17"/>
      <c r="E70" s="17"/>
      <c r="F70" s="17"/>
      <c r="G70" s="17"/>
      <c r="H70" s="17"/>
    </row>
    <row r="71" spans="1:8" ht="15.75" customHeight="1" x14ac:dyDescent="0.25">
      <c r="A71" s="17"/>
      <c r="B71" s="17"/>
      <c r="C71" s="17"/>
      <c r="D71" s="17"/>
      <c r="E71" s="17"/>
      <c r="F71" s="17"/>
      <c r="G71" s="17"/>
      <c r="H71" s="17"/>
    </row>
    <row r="72" spans="1:8" ht="15.75" customHeight="1" x14ac:dyDescent="0.25">
      <c r="A72" s="17"/>
      <c r="B72" s="17"/>
      <c r="C72" s="17"/>
      <c r="D72" s="17"/>
      <c r="E72" s="17"/>
      <c r="F72" s="17"/>
      <c r="G72" s="17"/>
      <c r="H72" s="17"/>
    </row>
    <row r="73" spans="1:8" ht="15.75" customHeight="1" x14ac:dyDescent="0.25">
      <c r="A73" s="17"/>
      <c r="B73" s="17"/>
      <c r="C73" s="17"/>
      <c r="D73" s="17"/>
      <c r="E73" s="17"/>
      <c r="F73" s="17"/>
      <c r="G73" s="17"/>
      <c r="H73" s="17"/>
    </row>
    <row r="74" spans="1:8" ht="15.75" customHeight="1" x14ac:dyDescent="0.25">
      <c r="A74" s="17"/>
      <c r="B74" s="17"/>
      <c r="C74" s="17"/>
      <c r="D74" s="17"/>
      <c r="E74" s="17"/>
      <c r="F74" s="17"/>
      <c r="G74" s="17"/>
      <c r="H74" s="17"/>
    </row>
    <row r="75" spans="1:8" ht="15.75" customHeight="1" x14ac:dyDescent="0.25">
      <c r="A75" s="17"/>
      <c r="B75" s="17"/>
      <c r="C75" s="17"/>
      <c r="D75" s="17"/>
      <c r="E75" s="17"/>
      <c r="F75" s="17"/>
      <c r="G75" s="17"/>
      <c r="H75" s="17"/>
    </row>
    <row r="76" spans="1:8" ht="15.75" customHeight="1" x14ac:dyDescent="0.25">
      <c r="A76" s="17"/>
      <c r="B76" s="17"/>
      <c r="C76" s="17"/>
      <c r="D76" s="17"/>
      <c r="E76" s="17"/>
      <c r="F76" s="17"/>
      <c r="G76" s="17"/>
      <c r="H76" s="17"/>
    </row>
    <row r="77" spans="1:8" ht="15.75" customHeight="1" x14ac:dyDescent="0.25">
      <c r="A77" s="17"/>
      <c r="B77" s="17"/>
      <c r="C77" s="17"/>
      <c r="D77" s="17"/>
      <c r="E77" s="17"/>
      <c r="F77" s="17"/>
      <c r="G77" s="17"/>
      <c r="H77" s="17"/>
    </row>
    <row r="78" spans="1:8" ht="15.75" customHeight="1" x14ac:dyDescent="0.25">
      <c r="A78" s="17"/>
      <c r="B78" s="17"/>
      <c r="C78" s="17"/>
      <c r="D78" s="17"/>
      <c r="E78" s="17"/>
      <c r="F78" s="17"/>
      <c r="G78" s="17"/>
      <c r="H78" s="17"/>
    </row>
    <row r="79" spans="1:8" ht="15.75" customHeight="1" x14ac:dyDescent="0.25">
      <c r="A79" s="17"/>
      <c r="B79" s="17"/>
      <c r="C79" s="17"/>
      <c r="D79" s="17"/>
      <c r="E79" s="17"/>
      <c r="F79" s="17"/>
      <c r="G79" s="17"/>
      <c r="H79" s="17"/>
    </row>
    <row r="80" spans="1:8" ht="15.75" customHeight="1" x14ac:dyDescent="0.25">
      <c r="A80" s="17"/>
      <c r="B80" s="17"/>
      <c r="C80" s="17"/>
      <c r="D80" s="17"/>
      <c r="E80" s="17"/>
      <c r="F80" s="17"/>
      <c r="G80" s="17"/>
      <c r="H80" s="17"/>
    </row>
    <row r="81" spans="1:8" ht="15.75" customHeight="1" x14ac:dyDescent="0.25">
      <c r="A81" s="17"/>
      <c r="B81" s="17"/>
      <c r="C81" s="17"/>
      <c r="D81" s="17"/>
      <c r="E81" s="17"/>
      <c r="F81" s="17"/>
      <c r="G81" s="17"/>
      <c r="H81" s="17"/>
    </row>
    <row r="82" spans="1:8" ht="15.75" customHeight="1" x14ac:dyDescent="0.25">
      <c r="A82" s="17"/>
      <c r="B82" s="17"/>
      <c r="C82" s="17"/>
      <c r="D82" s="17"/>
      <c r="E82" s="17"/>
      <c r="F82" s="17"/>
      <c r="G82" s="17"/>
      <c r="H82" s="17"/>
    </row>
    <row r="83" spans="1:8" ht="15.75" customHeight="1" x14ac:dyDescent="0.25">
      <c r="A83" s="17"/>
      <c r="B83" s="17"/>
      <c r="C83" s="17"/>
      <c r="D83" s="17"/>
      <c r="E83" s="17"/>
      <c r="F83" s="17"/>
      <c r="G83" s="17"/>
      <c r="H83" s="17"/>
    </row>
    <row r="84" spans="1:8" ht="15.75" customHeight="1" x14ac:dyDescent="0.25">
      <c r="A84" s="17"/>
      <c r="B84" s="17"/>
      <c r="C84" s="17"/>
      <c r="D84" s="17"/>
      <c r="E84" s="17"/>
      <c r="F84" s="17"/>
      <c r="G84" s="17"/>
      <c r="H84" s="17"/>
    </row>
    <row r="85" spans="1:8" ht="15.75" customHeight="1" x14ac:dyDescent="0.25">
      <c r="A85" s="17"/>
      <c r="B85" s="17"/>
      <c r="C85" s="17"/>
      <c r="D85" s="17"/>
      <c r="E85" s="17"/>
      <c r="F85" s="17"/>
      <c r="G85" s="17"/>
      <c r="H85" s="17"/>
    </row>
    <row r="86" spans="1:8" ht="15.75" customHeight="1" x14ac:dyDescent="0.25">
      <c r="A86" s="17"/>
      <c r="B86" s="17"/>
      <c r="C86" s="17"/>
      <c r="D86" s="17"/>
      <c r="E86" s="17"/>
      <c r="F86" s="17"/>
      <c r="G86" s="17"/>
      <c r="H86" s="17"/>
    </row>
    <row r="87" spans="1:8" ht="15.75" customHeight="1" x14ac:dyDescent="0.25">
      <c r="A87" s="17"/>
      <c r="B87" s="17"/>
      <c r="C87" s="17"/>
      <c r="D87" s="17"/>
      <c r="E87" s="17"/>
      <c r="F87" s="17"/>
      <c r="G87" s="17"/>
      <c r="H87" s="17"/>
    </row>
    <row r="88" spans="1:8" ht="15.75" customHeight="1" x14ac:dyDescent="0.25">
      <c r="A88" s="17"/>
      <c r="B88" s="17"/>
      <c r="C88" s="17"/>
      <c r="D88" s="17"/>
      <c r="E88" s="17"/>
      <c r="F88" s="17"/>
      <c r="G88" s="17"/>
      <c r="H88" s="17"/>
    </row>
    <row r="89" spans="1:8" ht="15.75" customHeight="1" x14ac:dyDescent="0.25">
      <c r="A89" s="17"/>
      <c r="B89" s="17"/>
      <c r="C89" s="17"/>
      <c r="D89" s="17"/>
      <c r="E89" s="17"/>
      <c r="F89" s="17"/>
      <c r="G89" s="17"/>
      <c r="H89" s="17"/>
    </row>
    <row r="90" spans="1:8" ht="15.75" customHeight="1" x14ac:dyDescent="0.25">
      <c r="A90" s="17"/>
      <c r="B90" s="17"/>
      <c r="C90" s="17"/>
      <c r="D90" s="17"/>
      <c r="E90" s="17"/>
      <c r="F90" s="17"/>
      <c r="G90" s="17"/>
      <c r="H90" s="17"/>
    </row>
    <row r="91" spans="1:8" ht="15.75" customHeight="1" x14ac:dyDescent="0.25">
      <c r="A91" s="17"/>
      <c r="B91" s="17"/>
      <c r="C91" s="17"/>
      <c r="D91" s="17"/>
      <c r="E91" s="17"/>
      <c r="F91" s="17"/>
      <c r="G91" s="17"/>
      <c r="H91" s="17"/>
    </row>
    <row r="92" spans="1:8" ht="15.75" customHeight="1" x14ac:dyDescent="0.25">
      <c r="A92" s="17"/>
      <c r="B92" s="17"/>
      <c r="C92" s="17"/>
      <c r="D92" s="17"/>
      <c r="E92" s="17"/>
      <c r="F92" s="17"/>
      <c r="G92" s="17"/>
      <c r="H92" s="17"/>
    </row>
    <row r="93" spans="1:8" ht="15.75" customHeight="1" x14ac:dyDescent="0.25">
      <c r="A93" s="17"/>
      <c r="B93" s="17"/>
      <c r="C93" s="17"/>
      <c r="D93" s="17"/>
      <c r="E93" s="17"/>
      <c r="F93" s="17"/>
      <c r="G93" s="17"/>
      <c r="H93" s="17"/>
    </row>
    <row r="94" spans="1:8" ht="15.75" customHeight="1" x14ac:dyDescent="0.25">
      <c r="A94" s="17"/>
      <c r="B94" s="17"/>
      <c r="C94" s="17"/>
      <c r="D94" s="17"/>
      <c r="E94" s="17"/>
      <c r="F94" s="17"/>
      <c r="G94" s="17"/>
      <c r="H94" s="17"/>
    </row>
    <row r="95" spans="1:8" ht="15.75" customHeight="1" x14ac:dyDescent="0.25">
      <c r="A95" s="17"/>
      <c r="B95" s="17"/>
      <c r="C95" s="17"/>
      <c r="D95" s="17"/>
      <c r="E95" s="17"/>
      <c r="F95" s="17"/>
      <c r="G95" s="17"/>
      <c r="H95" s="17"/>
    </row>
    <row r="96" spans="1:8" ht="15.75" customHeight="1" x14ac:dyDescent="0.25">
      <c r="A96" s="17"/>
      <c r="B96" s="17"/>
      <c r="C96" s="17"/>
      <c r="D96" s="17"/>
      <c r="E96" s="17"/>
      <c r="F96" s="17"/>
      <c r="G96" s="17"/>
      <c r="H96" s="17"/>
    </row>
    <row r="97" spans="1:8" ht="15.75" customHeight="1" x14ac:dyDescent="0.25">
      <c r="A97" s="17"/>
      <c r="B97" s="17"/>
      <c r="C97" s="17"/>
      <c r="D97" s="17"/>
      <c r="E97" s="17"/>
      <c r="F97" s="17"/>
      <c r="G97" s="17"/>
      <c r="H97" s="17"/>
    </row>
    <row r="98" spans="1:8" ht="15.75" customHeight="1" x14ac:dyDescent="0.25">
      <c r="A98" s="17"/>
      <c r="B98" s="17"/>
      <c r="C98" s="17"/>
      <c r="D98" s="17"/>
      <c r="E98" s="17"/>
      <c r="F98" s="17"/>
      <c r="G98" s="17"/>
      <c r="H98" s="17"/>
    </row>
    <row r="99" spans="1:8" ht="15.75" customHeight="1" x14ac:dyDescent="0.25">
      <c r="A99" s="17"/>
      <c r="B99" s="17"/>
      <c r="C99" s="17"/>
      <c r="D99" s="17"/>
      <c r="E99" s="17"/>
      <c r="F99" s="17"/>
      <c r="G99" s="17"/>
      <c r="H99" s="17"/>
    </row>
    <row r="100" spans="1:8" ht="15.75" customHeight="1" x14ac:dyDescent="0.25">
      <c r="A100" s="17"/>
      <c r="B100" s="17"/>
      <c r="C100" s="17"/>
      <c r="D100" s="17"/>
      <c r="E100" s="17"/>
      <c r="F100" s="17"/>
      <c r="G100" s="17"/>
      <c r="H100" s="17"/>
    </row>
  </sheetData>
  <mergeCells count="19">
    <mergeCell ref="A1:H1"/>
    <mergeCell ref="A2:B2"/>
    <mergeCell ref="C2:D2"/>
    <mergeCell ref="E2:F2"/>
    <mergeCell ref="G2:H2"/>
    <mergeCell ref="A5:H5"/>
    <mergeCell ref="A32:D32"/>
    <mergeCell ref="A33:D33"/>
    <mergeCell ref="A34:D34"/>
    <mergeCell ref="C3:D3"/>
    <mergeCell ref="A17:D17"/>
    <mergeCell ref="A18:D18"/>
    <mergeCell ref="A19:D19"/>
    <mergeCell ref="A21:H21"/>
    <mergeCell ref="A29:D29"/>
    <mergeCell ref="A31:H31"/>
    <mergeCell ref="E3:F3"/>
    <mergeCell ref="G3:H3"/>
    <mergeCell ref="A3:B3"/>
  </mergeCells>
  <pageMargins left="0.75" right="0.75" top="1" bottom="1" header="0" footer="0"/>
  <pageSetup paperSize="9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100"/>
  <sheetViews>
    <sheetView showGridLines="0" workbookViewId="0">
      <selection activeCell="E12" sqref="E12"/>
    </sheetView>
  </sheetViews>
  <sheetFormatPr defaultColWidth="14.42578125" defaultRowHeight="15" customHeight="1" x14ac:dyDescent="0.25"/>
  <cols>
    <col min="1" max="1" width="33.42578125" bestFit="1" customWidth="1"/>
    <col min="2" max="2" width="30" customWidth="1"/>
    <col min="3" max="6" width="16" customWidth="1"/>
    <col min="7" max="7" width="34" customWidth="1"/>
    <col min="8" max="11" width="8.5703125" customWidth="1"/>
  </cols>
  <sheetData>
    <row r="1" spans="1:7" ht="21.75" customHeight="1" x14ac:dyDescent="0.25">
      <c r="A1" s="167" t="s">
        <v>316</v>
      </c>
      <c r="B1" s="146"/>
      <c r="C1" s="146"/>
      <c r="D1" s="146"/>
      <c r="E1" s="146"/>
      <c r="F1" s="146"/>
      <c r="G1" s="147"/>
    </row>
    <row r="2" spans="1:7" ht="15" customHeight="1" x14ac:dyDescent="0.25">
      <c r="A2" s="168" t="s">
        <v>10</v>
      </c>
      <c r="B2" s="146"/>
      <c r="C2" s="146"/>
      <c r="D2" s="146"/>
      <c r="E2" s="146"/>
      <c r="F2" s="146"/>
      <c r="G2" s="147"/>
    </row>
    <row r="3" spans="1:7" ht="15" customHeight="1" x14ac:dyDescent="0.25">
      <c r="A3" s="18" t="s">
        <v>317</v>
      </c>
      <c r="B3" s="109">
        <v>13600</v>
      </c>
      <c r="C3" s="110" t="s">
        <v>318</v>
      </c>
      <c r="D3" s="3"/>
      <c r="E3" s="3"/>
      <c r="F3" s="3"/>
      <c r="G3" s="3"/>
    </row>
    <row r="4" spans="1:7" ht="15" customHeight="1" x14ac:dyDescent="0.25">
      <c r="A4" s="18" t="s">
        <v>319</v>
      </c>
      <c r="B4" s="19">
        <f>D48</f>
        <v>7447.423564713592</v>
      </c>
      <c r="C4" s="110" t="s">
        <v>320</v>
      </c>
      <c r="D4" s="3"/>
      <c r="E4" s="3"/>
      <c r="F4" s="3"/>
      <c r="G4" s="3"/>
    </row>
    <row r="5" spans="1:7" ht="15" customHeight="1" x14ac:dyDescent="0.25">
      <c r="A5" s="18" t="s">
        <v>321</v>
      </c>
      <c r="B5" s="109">
        <v>560</v>
      </c>
      <c r="C5" s="110" t="s">
        <v>322</v>
      </c>
      <c r="D5" s="3"/>
      <c r="E5" s="3"/>
      <c r="F5" s="3"/>
      <c r="G5" s="3"/>
    </row>
    <row r="6" spans="1:7" ht="15" customHeight="1" x14ac:dyDescent="0.25">
      <c r="A6" s="18" t="s">
        <v>323</v>
      </c>
      <c r="B6" s="111">
        <v>36</v>
      </c>
      <c r="C6" s="3"/>
      <c r="D6" s="3"/>
      <c r="E6" s="3"/>
      <c r="F6" s="3"/>
      <c r="G6" s="3"/>
    </row>
    <row r="7" spans="1:7" ht="15" customHeight="1" x14ac:dyDescent="0.25">
      <c r="A7" s="18" t="s">
        <v>324</v>
      </c>
      <c r="B7" s="21">
        <v>2.4299999999999999E-2</v>
      </c>
      <c r="C7" s="110" t="s">
        <v>325</v>
      </c>
      <c r="D7" s="3"/>
      <c r="E7" s="3"/>
      <c r="F7" s="3"/>
      <c r="G7" s="3"/>
    </row>
    <row r="8" spans="1:7" ht="15" customHeight="1" x14ac:dyDescent="0.25">
      <c r="A8" s="18" t="s">
        <v>326</v>
      </c>
      <c r="B8" s="112">
        <v>2.4799211752756699E-2</v>
      </c>
      <c r="C8" s="110" t="s">
        <v>327</v>
      </c>
      <c r="D8" s="3"/>
      <c r="E8" s="3"/>
      <c r="F8" s="3"/>
      <c r="G8" s="3"/>
    </row>
    <row r="9" spans="1:7" ht="15" customHeight="1" x14ac:dyDescent="0.25">
      <c r="A9" s="18" t="s">
        <v>328</v>
      </c>
      <c r="B9" s="113">
        <v>46266</v>
      </c>
      <c r="C9" s="110" t="s">
        <v>329</v>
      </c>
      <c r="D9" s="3"/>
      <c r="E9" s="3"/>
      <c r="F9" s="3"/>
      <c r="G9" s="3"/>
    </row>
    <row r="10" spans="1:7" ht="15" customHeight="1" x14ac:dyDescent="0.25">
      <c r="A10" s="18" t="s">
        <v>330</v>
      </c>
      <c r="B10" s="19">
        <f>B4/36</f>
        <v>206.87287679759979</v>
      </c>
      <c r="C10" s="110" t="s">
        <v>331</v>
      </c>
      <c r="D10" s="3"/>
      <c r="E10" s="3"/>
      <c r="F10" s="3"/>
      <c r="G10" s="3"/>
    </row>
    <row r="11" spans="1:7" ht="15" customHeight="1" x14ac:dyDescent="0.25">
      <c r="A11" s="114" t="s">
        <v>21</v>
      </c>
      <c r="B11" s="114" t="s">
        <v>22</v>
      </c>
      <c r="C11" s="114" t="s">
        <v>332</v>
      </c>
      <c r="D11" s="114" t="s">
        <v>333</v>
      </c>
      <c r="E11" s="114" t="s">
        <v>334</v>
      </c>
      <c r="F11" s="114" t="s">
        <v>335</v>
      </c>
      <c r="G11" s="114" t="s">
        <v>336</v>
      </c>
    </row>
    <row r="12" spans="1:7" ht="15" customHeight="1" x14ac:dyDescent="0.25">
      <c r="A12" s="115">
        <v>1</v>
      </c>
      <c r="B12" s="116">
        <f>EDATE($B$9,1)</f>
        <v>46296</v>
      </c>
      <c r="C12" s="81">
        <f>$B$3</f>
        <v>13600</v>
      </c>
      <c r="D12" s="81">
        <f t="shared" ref="D12:D47" si="0">C12*$B$8</f>
        <v>337.26927983749113</v>
      </c>
      <c r="E12" s="81">
        <f t="shared" ref="E12:E47" si="1">IF(A12=$B$6,C12,$B$5-D12)</f>
        <v>222.73072016250887</v>
      </c>
      <c r="F12" s="81">
        <f t="shared" ref="F12:F47" si="2">IF(A12=$B$6,E12+D12,$B$5)</f>
        <v>560</v>
      </c>
      <c r="G12" s="81">
        <f t="shared" ref="G12:G47" si="3">MAX(C12-E12,0)</f>
        <v>13377.269279837492</v>
      </c>
    </row>
    <row r="13" spans="1:7" ht="15" customHeight="1" x14ac:dyDescent="0.25">
      <c r="A13" s="115">
        <v>2</v>
      </c>
      <c r="B13" s="116">
        <f t="shared" ref="B13:B47" si="4">EDATE(B12,1)</f>
        <v>46327</v>
      </c>
      <c r="C13" s="81">
        <f t="shared" ref="C13:C47" si="5">G12</f>
        <v>13377.269279837492</v>
      </c>
      <c r="D13" s="81">
        <f t="shared" si="0"/>
        <v>331.74573354433704</v>
      </c>
      <c r="E13" s="81">
        <f t="shared" si="1"/>
        <v>228.25426645566296</v>
      </c>
      <c r="F13" s="81">
        <f t="shared" si="2"/>
        <v>560</v>
      </c>
      <c r="G13" s="81">
        <f t="shared" si="3"/>
        <v>13149.01501338183</v>
      </c>
    </row>
    <row r="14" spans="1:7" ht="15" customHeight="1" x14ac:dyDescent="0.25">
      <c r="A14" s="115">
        <v>3</v>
      </c>
      <c r="B14" s="116">
        <f t="shared" si="4"/>
        <v>46357</v>
      </c>
      <c r="C14" s="81">
        <f t="shared" si="5"/>
        <v>13149.01501338183</v>
      </c>
      <c r="D14" s="81">
        <f t="shared" si="0"/>
        <v>326.08520765703292</v>
      </c>
      <c r="E14" s="81">
        <f t="shared" si="1"/>
        <v>233.91479234296708</v>
      </c>
      <c r="F14" s="81">
        <f t="shared" si="2"/>
        <v>560</v>
      </c>
      <c r="G14" s="81">
        <f t="shared" si="3"/>
        <v>12915.100221038863</v>
      </c>
    </row>
    <row r="15" spans="1:7" ht="15" customHeight="1" x14ac:dyDescent="0.25">
      <c r="A15" s="115">
        <v>4</v>
      </c>
      <c r="B15" s="116">
        <f t="shared" si="4"/>
        <v>46388</v>
      </c>
      <c r="C15" s="81">
        <f t="shared" si="5"/>
        <v>12915.100221038863</v>
      </c>
      <c r="D15" s="81">
        <f t="shared" si="0"/>
        <v>320.28430518961761</v>
      </c>
      <c r="E15" s="81">
        <f t="shared" si="1"/>
        <v>239.71569481038239</v>
      </c>
      <c r="F15" s="81">
        <f t="shared" si="2"/>
        <v>560</v>
      </c>
      <c r="G15" s="81">
        <f t="shared" si="3"/>
        <v>12675.384526228481</v>
      </c>
    </row>
    <row r="16" spans="1:7" ht="15" customHeight="1" x14ac:dyDescent="0.25">
      <c r="A16" s="115">
        <v>5</v>
      </c>
      <c r="B16" s="116">
        <f t="shared" si="4"/>
        <v>46419</v>
      </c>
      <c r="C16" s="81">
        <f t="shared" si="5"/>
        <v>12675.384526228481</v>
      </c>
      <c r="D16" s="81">
        <f t="shared" si="0"/>
        <v>314.33954491355576</v>
      </c>
      <c r="E16" s="81">
        <f t="shared" si="1"/>
        <v>245.66045508644424</v>
      </c>
      <c r="F16" s="81">
        <f t="shared" si="2"/>
        <v>560</v>
      </c>
      <c r="G16" s="81">
        <f t="shared" si="3"/>
        <v>12429.724071142036</v>
      </c>
    </row>
    <row r="17" spans="1:7" ht="15" customHeight="1" x14ac:dyDescent="0.25">
      <c r="A17" s="115">
        <v>6</v>
      </c>
      <c r="B17" s="116">
        <f t="shared" si="4"/>
        <v>46447</v>
      </c>
      <c r="C17" s="81">
        <f t="shared" si="5"/>
        <v>12429.724071142036</v>
      </c>
      <c r="D17" s="81">
        <f t="shared" si="0"/>
        <v>308.24735926858841</v>
      </c>
      <c r="E17" s="81">
        <f t="shared" si="1"/>
        <v>251.75264073141159</v>
      </c>
      <c r="F17" s="81">
        <f t="shared" si="2"/>
        <v>560</v>
      </c>
      <c r="G17" s="81">
        <f t="shared" si="3"/>
        <v>12177.971430410626</v>
      </c>
    </row>
    <row r="18" spans="1:7" ht="15" customHeight="1" x14ac:dyDescent="0.25">
      <c r="A18" s="115">
        <v>7</v>
      </c>
      <c r="B18" s="116">
        <f t="shared" si="4"/>
        <v>46478</v>
      </c>
      <c r="C18" s="81">
        <f t="shared" si="5"/>
        <v>12177.971430410626</v>
      </c>
      <c r="D18" s="81">
        <f t="shared" si="0"/>
        <v>302.0040922217745</v>
      </c>
      <c r="E18" s="81">
        <f t="shared" si="1"/>
        <v>257.9959077782255</v>
      </c>
      <c r="F18" s="81">
        <f t="shared" si="2"/>
        <v>560</v>
      </c>
      <c r="G18" s="81">
        <f t="shared" si="3"/>
        <v>11919.9755226324</v>
      </c>
    </row>
    <row r="19" spans="1:7" ht="15" customHeight="1" x14ac:dyDescent="0.25">
      <c r="A19" s="115">
        <v>8</v>
      </c>
      <c r="B19" s="116">
        <f t="shared" si="4"/>
        <v>46508</v>
      </c>
      <c r="C19" s="81">
        <f t="shared" si="5"/>
        <v>11919.9755226324</v>
      </c>
      <c r="D19" s="81">
        <f t="shared" si="0"/>
        <v>295.60599707343755</v>
      </c>
      <c r="E19" s="81">
        <f t="shared" si="1"/>
        <v>264.39400292656245</v>
      </c>
      <c r="F19" s="81">
        <f t="shared" si="2"/>
        <v>560</v>
      </c>
      <c r="G19" s="81">
        <f t="shared" si="3"/>
        <v>11655.581519705836</v>
      </c>
    </row>
    <row r="20" spans="1:7" ht="15" customHeight="1" x14ac:dyDescent="0.25">
      <c r="A20" s="115">
        <v>9</v>
      </c>
      <c r="B20" s="116">
        <f t="shared" si="4"/>
        <v>46539</v>
      </c>
      <c r="C20" s="81">
        <f t="shared" si="5"/>
        <v>11655.581519705836</v>
      </c>
      <c r="D20" s="81">
        <f t="shared" si="0"/>
        <v>289.04923420870279</v>
      </c>
      <c r="E20" s="81">
        <f t="shared" si="1"/>
        <v>270.95076579129721</v>
      </c>
      <c r="F20" s="81">
        <f t="shared" si="2"/>
        <v>560</v>
      </c>
      <c r="G20" s="81">
        <f t="shared" si="3"/>
        <v>11384.63075391454</v>
      </c>
    </row>
    <row r="21" spans="1:7" ht="15" customHeight="1" x14ac:dyDescent="0.25">
      <c r="A21" s="115">
        <v>10</v>
      </c>
      <c r="B21" s="116">
        <f t="shared" si="4"/>
        <v>46569</v>
      </c>
      <c r="C21" s="81">
        <f t="shared" si="5"/>
        <v>11384.63075391454</v>
      </c>
      <c r="D21" s="81">
        <f t="shared" si="0"/>
        <v>282.32986879327279</v>
      </c>
      <c r="E21" s="81">
        <f t="shared" si="1"/>
        <v>277.67013120672721</v>
      </c>
      <c r="F21" s="81">
        <f t="shared" si="2"/>
        <v>560</v>
      </c>
      <c r="G21" s="81">
        <f t="shared" si="3"/>
        <v>11106.960622707813</v>
      </c>
    </row>
    <row r="22" spans="1:7" ht="15" customHeight="1" x14ac:dyDescent="0.25">
      <c r="A22" s="115">
        <v>11</v>
      </c>
      <c r="B22" s="116">
        <f t="shared" si="4"/>
        <v>46600</v>
      </c>
      <c r="C22" s="81">
        <f t="shared" si="5"/>
        <v>11106.960622707813</v>
      </c>
      <c r="D22" s="81">
        <f t="shared" si="0"/>
        <v>275.44386841206148</v>
      </c>
      <c r="E22" s="81">
        <f t="shared" si="1"/>
        <v>284.55613158793852</v>
      </c>
      <c r="F22" s="81">
        <f t="shared" si="2"/>
        <v>560</v>
      </c>
      <c r="G22" s="81">
        <f t="shared" si="3"/>
        <v>10822.404491119874</v>
      </c>
    </row>
    <row r="23" spans="1:7" ht="15" customHeight="1" x14ac:dyDescent="0.25">
      <c r="A23" s="115">
        <v>12</v>
      </c>
      <c r="B23" s="116">
        <f t="shared" si="4"/>
        <v>46631</v>
      </c>
      <c r="C23" s="81">
        <f t="shared" si="5"/>
        <v>10822.404491119874</v>
      </c>
      <c r="D23" s="81">
        <f t="shared" si="0"/>
        <v>268.38710064926687</v>
      </c>
      <c r="E23" s="81">
        <f t="shared" si="1"/>
        <v>291.61289935073313</v>
      </c>
      <c r="F23" s="81">
        <f t="shared" si="2"/>
        <v>560</v>
      </c>
      <c r="G23" s="81">
        <f t="shared" si="3"/>
        <v>10530.791591769141</v>
      </c>
    </row>
    <row r="24" spans="1:7" ht="15" customHeight="1" x14ac:dyDescent="0.25">
      <c r="A24" s="115">
        <v>13</v>
      </c>
      <c r="B24" s="116">
        <f t="shared" si="4"/>
        <v>46661</v>
      </c>
      <c r="C24" s="81">
        <f t="shared" si="5"/>
        <v>10530.791591769141</v>
      </c>
      <c r="D24" s="81">
        <f t="shared" si="0"/>
        <v>261.15533060843268</v>
      </c>
      <c r="E24" s="81">
        <f t="shared" si="1"/>
        <v>298.84466939156732</v>
      </c>
      <c r="F24" s="81">
        <f t="shared" si="2"/>
        <v>560</v>
      </c>
      <c r="G24" s="81">
        <f t="shared" si="3"/>
        <v>10231.946922377574</v>
      </c>
    </row>
    <row r="25" spans="1:7" ht="15" customHeight="1" x14ac:dyDescent="0.25">
      <c r="A25" s="115">
        <v>14</v>
      </c>
      <c r="B25" s="116">
        <f t="shared" si="4"/>
        <v>46692</v>
      </c>
      <c r="C25" s="81">
        <f t="shared" si="5"/>
        <v>10231.946922377574</v>
      </c>
      <c r="D25" s="81">
        <f t="shared" si="0"/>
        <v>253.74421837100866</v>
      </c>
      <c r="E25" s="81">
        <f t="shared" si="1"/>
        <v>306.25578162899137</v>
      </c>
      <c r="F25" s="81">
        <f t="shared" si="2"/>
        <v>560</v>
      </c>
      <c r="G25" s="81">
        <f t="shared" si="3"/>
        <v>9925.6911407485823</v>
      </c>
    </row>
    <row r="26" spans="1:7" ht="15" customHeight="1" x14ac:dyDescent="0.25">
      <c r="A26" s="115">
        <v>15</v>
      </c>
      <c r="B26" s="116">
        <f t="shared" si="4"/>
        <v>46722</v>
      </c>
      <c r="C26" s="81">
        <f t="shared" si="5"/>
        <v>9925.6911407485823</v>
      </c>
      <c r="D26" s="81">
        <f t="shared" si="0"/>
        <v>246.14931639188529</v>
      </c>
      <c r="E26" s="81">
        <f t="shared" si="1"/>
        <v>313.85068360811471</v>
      </c>
      <c r="F26" s="81">
        <f t="shared" si="2"/>
        <v>560</v>
      </c>
      <c r="G26" s="81">
        <f t="shared" si="3"/>
        <v>9611.8404571404681</v>
      </c>
    </row>
    <row r="27" spans="1:7" ht="15" customHeight="1" x14ac:dyDescent="0.25">
      <c r="A27" s="115">
        <v>16</v>
      </c>
      <c r="B27" s="116">
        <f t="shared" si="4"/>
        <v>46753</v>
      </c>
      <c r="C27" s="81">
        <f t="shared" si="5"/>
        <v>9611.8404571404681</v>
      </c>
      <c r="D27" s="81">
        <f t="shared" si="0"/>
        <v>238.3660668303402</v>
      </c>
      <c r="E27" s="81">
        <f t="shared" si="1"/>
        <v>321.63393316965983</v>
      </c>
      <c r="F27" s="81">
        <f t="shared" si="2"/>
        <v>560</v>
      </c>
      <c r="G27" s="81">
        <f t="shared" si="3"/>
        <v>9290.2065239708081</v>
      </c>
    </row>
    <row r="28" spans="1:7" ht="15" customHeight="1" x14ac:dyDescent="0.25">
      <c r="A28" s="115">
        <v>17</v>
      </c>
      <c r="B28" s="116">
        <f t="shared" si="4"/>
        <v>46784</v>
      </c>
      <c r="C28" s="81">
        <f t="shared" si="5"/>
        <v>9290.2065239708081</v>
      </c>
      <c r="D28" s="81">
        <f t="shared" si="0"/>
        <v>230.38979881479383</v>
      </c>
      <c r="E28" s="81">
        <f t="shared" si="1"/>
        <v>329.61020118520617</v>
      </c>
      <c r="F28" s="81">
        <f t="shared" si="2"/>
        <v>560</v>
      </c>
      <c r="G28" s="81">
        <f t="shared" si="3"/>
        <v>8960.5963227856028</v>
      </c>
    </row>
    <row r="29" spans="1:7" ht="15" customHeight="1" x14ac:dyDescent="0.25">
      <c r="A29" s="115">
        <v>18</v>
      </c>
      <c r="B29" s="116">
        <f t="shared" si="4"/>
        <v>46813</v>
      </c>
      <c r="C29" s="81">
        <f t="shared" si="5"/>
        <v>8960.5963227856028</v>
      </c>
      <c r="D29" s="81">
        <f t="shared" si="0"/>
        <v>222.21572563973317</v>
      </c>
      <c r="E29" s="81">
        <f t="shared" si="1"/>
        <v>337.78427436026686</v>
      </c>
      <c r="F29" s="81">
        <f t="shared" si="2"/>
        <v>560</v>
      </c>
      <c r="G29" s="81">
        <f t="shared" si="3"/>
        <v>8622.8120484253359</v>
      </c>
    </row>
    <row r="30" spans="1:7" ht="15" customHeight="1" x14ac:dyDescent="0.25">
      <c r="A30" s="115">
        <v>19</v>
      </c>
      <c r="B30" s="116">
        <f t="shared" si="4"/>
        <v>46844</v>
      </c>
      <c r="C30" s="81">
        <f t="shared" si="5"/>
        <v>8622.8120484253359</v>
      </c>
      <c r="D30" s="81">
        <f t="shared" si="0"/>
        <v>213.83894189312164</v>
      </c>
      <c r="E30" s="81">
        <f t="shared" si="1"/>
        <v>346.16105810687839</v>
      </c>
      <c r="F30" s="81">
        <f t="shared" si="2"/>
        <v>560</v>
      </c>
      <c r="G30" s="81">
        <f t="shared" si="3"/>
        <v>8276.6509903184578</v>
      </c>
    </row>
    <row r="31" spans="1:7" ht="15" customHeight="1" x14ac:dyDescent="0.25">
      <c r="A31" s="115">
        <v>20</v>
      </c>
      <c r="B31" s="116">
        <f t="shared" si="4"/>
        <v>46874</v>
      </c>
      <c r="C31" s="81">
        <f t="shared" si="5"/>
        <v>8276.6509903184578</v>
      </c>
      <c r="D31" s="81">
        <f t="shared" si="0"/>
        <v>205.25442051257087</v>
      </c>
      <c r="E31" s="81">
        <f t="shared" si="1"/>
        <v>354.74557948742915</v>
      </c>
      <c r="F31" s="81">
        <f t="shared" si="2"/>
        <v>560</v>
      </c>
      <c r="G31" s="81">
        <f t="shared" si="3"/>
        <v>7921.9054108310283</v>
      </c>
    </row>
    <row r="32" spans="1:7" ht="15" customHeight="1" x14ac:dyDescent="0.25">
      <c r="A32" s="115">
        <v>21</v>
      </c>
      <c r="B32" s="116">
        <f t="shared" si="4"/>
        <v>46905</v>
      </c>
      <c r="C32" s="81">
        <f t="shared" si="5"/>
        <v>7921.9054108310283</v>
      </c>
      <c r="D32" s="81">
        <f t="shared" si="0"/>
        <v>196.45700976850773</v>
      </c>
      <c r="E32" s="81">
        <f t="shared" si="1"/>
        <v>363.54299023149224</v>
      </c>
      <c r="F32" s="81">
        <f t="shared" si="2"/>
        <v>560</v>
      </c>
      <c r="G32" s="81">
        <f t="shared" si="3"/>
        <v>7558.3624205995366</v>
      </c>
    </row>
    <row r="33" spans="1:7" ht="15" customHeight="1" x14ac:dyDescent="0.25">
      <c r="A33" s="115">
        <v>22</v>
      </c>
      <c r="B33" s="116">
        <f t="shared" si="4"/>
        <v>46935</v>
      </c>
      <c r="C33" s="81">
        <f t="shared" si="5"/>
        <v>7558.3624205995366</v>
      </c>
      <c r="D33" s="81">
        <f t="shared" si="0"/>
        <v>187.44143017252659</v>
      </c>
      <c r="E33" s="81">
        <f t="shared" si="1"/>
        <v>372.55856982747343</v>
      </c>
      <c r="F33" s="81">
        <f t="shared" si="2"/>
        <v>560</v>
      </c>
      <c r="G33" s="81">
        <f t="shared" si="3"/>
        <v>7185.803850772063</v>
      </c>
    </row>
    <row r="34" spans="1:7" ht="15" customHeight="1" x14ac:dyDescent="0.25">
      <c r="A34" s="115">
        <v>23</v>
      </c>
      <c r="B34" s="116">
        <f t="shared" si="4"/>
        <v>46966</v>
      </c>
      <c r="C34" s="81">
        <f t="shared" si="5"/>
        <v>7185.803850772063</v>
      </c>
      <c r="D34" s="81">
        <f t="shared" si="0"/>
        <v>178.20227130907088</v>
      </c>
      <c r="E34" s="81">
        <f t="shared" si="1"/>
        <v>381.79772869092915</v>
      </c>
      <c r="F34" s="81">
        <f t="shared" si="2"/>
        <v>560</v>
      </c>
      <c r="G34" s="81">
        <f t="shared" si="3"/>
        <v>6804.006122081134</v>
      </c>
    </row>
    <row r="35" spans="1:7" ht="15" customHeight="1" x14ac:dyDescent="0.25">
      <c r="A35" s="115">
        <v>24</v>
      </c>
      <c r="B35" s="116">
        <f t="shared" si="4"/>
        <v>46997</v>
      </c>
      <c r="C35" s="81">
        <f t="shared" si="5"/>
        <v>6804.006122081134</v>
      </c>
      <c r="D35" s="81">
        <f t="shared" si="0"/>
        <v>168.73398858854299</v>
      </c>
      <c r="E35" s="81">
        <f t="shared" si="1"/>
        <v>391.26601141145704</v>
      </c>
      <c r="F35" s="81">
        <f t="shared" si="2"/>
        <v>560</v>
      </c>
      <c r="G35" s="81">
        <f t="shared" si="3"/>
        <v>6412.7401106696771</v>
      </c>
    </row>
    <row r="36" spans="1:7" ht="15" customHeight="1" x14ac:dyDescent="0.25">
      <c r="A36" s="115">
        <v>25</v>
      </c>
      <c r="B36" s="116">
        <f t="shared" si="4"/>
        <v>47027</v>
      </c>
      <c r="C36" s="81">
        <f t="shared" si="5"/>
        <v>6412.7401106696771</v>
      </c>
      <c r="D36" s="81">
        <f t="shared" si="0"/>
        <v>159.03089991989376</v>
      </c>
      <c r="E36" s="81">
        <f t="shared" si="1"/>
        <v>400.96910008010627</v>
      </c>
      <c r="F36" s="81">
        <f t="shared" si="2"/>
        <v>560</v>
      </c>
      <c r="G36" s="81">
        <f t="shared" si="3"/>
        <v>6011.7710105895712</v>
      </c>
    </row>
    <row r="37" spans="1:7" ht="15" customHeight="1" x14ac:dyDescent="0.25">
      <c r="A37" s="115">
        <v>26</v>
      </c>
      <c r="B37" s="116">
        <f t="shared" si="4"/>
        <v>47058</v>
      </c>
      <c r="C37" s="81">
        <f t="shared" si="5"/>
        <v>6011.7710105895712</v>
      </c>
      <c r="D37" s="81">
        <f t="shared" si="0"/>
        <v>149.08718230069491</v>
      </c>
      <c r="E37" s="81">
        <f t="shared" si="1"/>
        <v>410.91281769930509</v>
      </c>
      <c r="F37" s="81">
        <f t="shared" si="2"/>
        <v>560</v>
      </c>
      <c r="G37" s="81">
        <f t="shared" si="3"/>
        <v>5600.8581928902659</v>
      </c>
    </row>
    <row r="38" spans="1:7" ht="15" customHeight="1" x14ac:dyDescent="0.25">
      <c r="A38" s="115">
        <v>27</v>
      </c>
      <c r="B38" s="116">
        <f t="shared" si="4"/>
        <v>47088</v>
      </c>
      <c r="C38" s="81">
        <f t="shared" si="5"/>
        <v>5600.8581928902659</v>
      </c>
      <c r="D38" s="81">
        <f t="shared" si="0"/>
        <v>138.89686832264792</v>
      </c>
      <c r="E38" s="81">
        <f t="shared" si="1"/>
        <v>421.10313167735205</v>
      </c>
      <c r="F38" s="81">
        <f t="shared" si="2"/>
        <v>560</v>
      </c>
      <c r="G38" s="81">
        <f t="shared" si="3"/>
        <v>5179.7550612129135</v>
      </c>
    </row>
    <row r="39" spans="1:7" ht="15" customHeight="1" x14ac:dyDescent="0.25">
      <c r="A39" s="115">
        <v>28</v>
      </c>
      <c r="B39" s="116">
        <f t="shared" si="4"/>
        <v>47119</v>
      </c>
      <c r="C39" s="81">
        <f t="shared" si="5"/>
        <v>5179.7550612129135</v>
      </c>
      <c r="D39" s="81">
        <f t="shared" si="0"/>
        <v>128.45384259043229</v>
      </c>
      <c r="E39" s="81">
        <f t="shared" si="1"/>
        <v>431.54615740956774</v>
      </c>
      <c r="F39" s="81">
        <f t="shared" si="2"/>
        <v>560</v>
      </c>
      <c r="G39" s="81">
        <f t="shared" si="3"/>
        <v>4748.2089038033455</v>
      </c>
    </row>
    <row r="40" spans="1:7" ht="15" customHeight="1" x14ac:dyDescent="0.25">
      <c r="A40" s="115">
        <v>29</v>
      </c>
      <c r="B40" s="116">
        <f t="shared" si="4"/>
        <v>47150</v>
      </c>
      <c r="C40" s="81">
        <f t="shared" si="5"/>
        <v>4748.2089038033455</v>
      </c>
      <c r="D40" s="81">
        <f t="shared" si="0"/>
        <v>117.75183805174393</v>
      </c>
      <c r="E40" s="81">
        <f t="shared" si="1"/>
        <v>442.2481619482561</v>
      </c>
      <c r="F40" s="81">
        <f t="shared" si="2"/>
        <v>560</v>
      </c>
      <c r="G40" s="81">
        <f t="shared" si="3"/>
        <v>4305.9607418550895</v>
      </c>
    </row>
    <row r="41" spans="1:7" ht="15" customHeight="1" x14ac:dyDescent="0.25">
      <c r="A41" s="115">
        <v>30</v>
      </c>
      <c r="B41" s="116">
        <f t="shared" si="4"/>
        <v>47178</v>
      </c>
      <c r="C41" s="81">
        <f t="shared" si="5"/>
        <v>4305.9607418550895</v>
      </c>
      <c r="D41" s="81">
        <f t="shared" si="0"/>
        <v>106.78443223632169</v>
      </c>
      <c r="E41" s="81">
        <f t="shared" si="1"/>
        <v>453.21556776367834</v>
      </c>
      <c r="F41" s="81">
        <f t="shared" si="2"/>
        <v>560</v>
      </c>
      <c r="G41" s="81">
        <f t="shared" si="3"/>
        <v>3852.7451740914112</v>
      </c>
    </row>
    <row r="42" spans="1:7" ht="15" customHeight="1" x14ac:dyDescent="0.25">
      <c r="A42" s="115">
        <v>31</v>
      </c>
      <c r="B42" s="116">
        <f t="shared" si="4"/>
        <v>47209</v>
      </c>
      <c r="C42" s="81">
        <f t="shared" si="5"/>
        <v>3852.7451740914112</v>
      </c>
      <c r="D42" s="81">
        <f t="shared" si="0"/>
        <v>95.545043401704376</v>
      </c>
      <c r="E42" s="81">
        <f t="shared" si="1"/>
        <v>464.45495659829561</v>
      </c>
      <c r="F42" s="81">
        <f t="shared" si="2"/>
        <v>560</v>
      </c>
      <c r="G42" s="81">
        <f t="shared" si="3"/>
        <v>3388.2902174931155</v>
      </c>
    </row>
    <row r="43" spans="1:7" ht="15" customHeight="1" x14ac:dyDescent="0.25">
      <c r="A43" s="115">
        <v>32</v>
      </c>
      <c r="B43" s="116">
        <f t="shared" si="4"/>
        <v>47239</v>
      </c>
      <c r="C43" s="81">
        <f t="shared" si="5"/>
        <v>3388.2902174931155</v>
      </c>
      <c r="D43" s="81">
        <f t="shared" si="0"/>
        <v>84.026926583405825</v>
      </c>
      <c r="E43" s="81">
        <f t="shared" si="1"/>
        <v>475.97307341659416</v>
      </c>
      <c r="F43" s="81">
        <f t="shared" si="2"/>
        <v>560</v>
      </c>
      <c r="G43" s="81">
        <f t="shared" si="3"/>
        <v>2912.3171440765213</v>
      </c>
    </row>
    <row r="44" spans="1:7" ht="15" customHeight="1" x14ac:dyDescent="0.25">
      <c r="A44" s="115">
        <v>33</v>
      </c>
      <c r="B44" s="116">
        <f t="shared" si="4"/>
        <v>47270</v>
      </c>
      <c r="C44" s="81">
        <f t="shared" si="5"/>
        <v>2912.3171440765213</v>
      </c>
      <c r="D44" s="81">
        <f t="shared" si="0"/>
        <v>72.223169547137289</v>
      </c>
      <c r="E44" s="81">
        <f t="shared" si="1"/>
        <v>487.77683045286273</v>
      </c>
      <c r="F44" s="81">
        <f t="shared" si="2"/>
        <v>560</v>
      </c>
      <c r="G44" s="81">
        <f t="shared" si="3"/>
        <v>2424.5403136236587</v>
      </c>
    </row>
    <row r="45" spans="1:7" ht="15" customHeight="1" x14ac:dyDescent="0.25">
      <c r="A45" s="115">
        <v>34</v>
      </c>
      <c r="B45" s="116">
        <f t="shared" si="4"/>
        <v>47300</v>
      </c>
      <c r="C45" s="81">
        <f t="shared" si="5"/>
        <v>2424.5403136236587</v>
      </c>
      <c r="D45" s="81">
        <f t="shared" si="0"/>
        <v>60.126688640648247</v>
      </c>
      <c r="E45" s="81">
        <f t="shared" si="1"/>
        <v>499.87331135935176</v>
      </c>
      <c r="F45" s="81">
        <f t="shared" si="2"/>
        <v>560</v>
      </c>
      <c r="G45" s="81">
        <f t="shared" si="3"/>
        <v>1924.667002264307</v>
      </c>
    </row>
    <row r="46" spans="1:7" ht="15" customHeight="1" x14ac:dyDescent="0.25">
      <c r="A46" s="115">
        <v>35</v>
      </c>
      <c r="B46" s="116">
        <f t="shared" si="4"/>
        <v>47331</v>
      </c>
      <c r="C46" s="81">
        <f t="shared" si="5"/>
        <v>1924.667002264307</v>
      </c>
      <c r="D46" s="81">
        <f t="shared" si="0"/>
        <v>47.730224542696007</v>
      </c>
      <c r="E46" s="81">
        <f t="shared" si="1"/>
        <v>512.26977545730404</v>
      </c>
      <c r="F46" s="81">
        <f t="shared" si="2"/>
        <v>560</v>
      </c>
      <c r="G46" s="81">
        <f t="shared" si="3"/>
        <v>1412.3972268070029</v>
      </c>
    </row>
    <row r="47" spans="1:7" ht="15" customHeight="1" x14ac:dyDescent="0.25">
      <c r="A47" s="115">
        <v>36</v>
      </c>
      <c r="B47" s="116">
        <f t="shared" si="4"/>
        <v>47362</v>
      </c>
      <c r="C47" s="81">
        <f t="shared" si="5"/>
        <v>1412.3972268070029</v>
      </c>
      <c r="D47" s="81">
        <f t="shared" si="0"/>
        <v>35.026337906593191</v>
      </c>
      <c r="E47" s="81">
        <f t="shared" si="1"/>
        <v>1412.3972268070029</v>
      </c>
      <c r="F47" s="81">
        <f t="shared" si="2"/>
        <v>1447.4235647135961</v>
      </c>
      <c r="G47" s="81">
        <f t="shared" si="3"/>
        <v>0</v>
      </c>
    </row>
    <row r="48" spans="1:7" ht="15" customHeight="1" x14ac:dyDescent="0.25">
      <c r="A48" s="169" t="s">
        <v>337</v>
      </c>
      <c r="B48" s="146"/>
      <c r="C48" s="147"/>
      <c r="D48" s="117">
        <f t="shared" ref="D48:F48" si="6">SUM(D12:D47)</f>
        <v>7447.423564713592</v>
      </c>
      <c r="E48" s="117">
        <f t="shared" si="6"/>
        <v>13600.000000000004</v>
      </c>
      <c r="F48" s="117">
        <f t="shared" si="6"/>
        <v>21047.423564713597</v>
      </c>
      <c r="G48" s="117">
        <v>0</v>
      </c>
    </row>
    <row r="49" spans="1:7" ht="15.75" customHeight="1" x14ac:dyDescent="0.25">
      <c r="A49" s="3"/>
      <c r="B49" s="3"/>
      <c r="C49" s="3"/>
      <c r="D49" s="3"/>
      <c r="E49" s="3"/>
      <c r="F49" s="3"/>
      <c r="G49" s="3"/>
    </row>
    <row r="50" spans="1:7" ht="15" customHeight="1" x14ac:dyDescent="0.25">
      <c r="A50" s="170" t="s">
        <v>338</v>
      </c>
      <c r="B50" s="171"/>
      <c r="C50" s="171"/>
      <c r="D50" s="118">
        <f>D48</f>
        <v>7447.423564713592</v>
      </c>
      <c r="E50" s="3"/>
      <c r="F50" s="3"/>
      <c r="G50" s="3"/>
    </row>
    <row r="51" spans="1:7" ht="15.75" customHeight="1" x14ac:dyDescent="0.25">
      <c r="A51" s="3"/>
      <c r="B51" s="3"/>
      <c r="C51" s="3"/>
      <c r="D51" s="3"/>
      <c r="E51" s="3"/>
      <c r="F51" s="3"/>
      <c r="G51" s="3"/>
    </row>
    <row r="52" spans="1:7" ht="15.75" customHeight="1" x14ac:dyDescent="0.25">
      <c r="A52" s="3"/>
      <c r="B52" s="3"/>
      <c r="C52" s="3"/>
      <c r="D52" s="3"/>
      <c r="E52" s="3"/>
      <c r="F52" s="3"/>
      <c r="G52" s="3"/>
    </row>
    <row r="53" spans="1:7" ht="15.75" customHeight="1" x14ac:dyDescent="0.25">
      <c r="A53" s="3"/>
      <c r="B53" s="3"/>
      <c r="C53" s="3"/>
      <c r="D53" s="3"/>
      <c r="E53" s="3"/>
      <c r="F53" s="3"/>
      <c r="G53" s="3"/>
    </row>
    <row r="54" spans="1:7" ht="15.75" customHeight="1" x14ac:dyDescent="0.25">
      <c r="A54" s="3"/>
      <c r="B54" s="3"/>
      <c r="C54" s="3"/>
      <c r="D54" s="3"/>
      <c r="E54" s="3"/>
      <c r="F54" s="3"/>
      <c r="G54" s="3"/>
    </row>
    <row r="55" spans="1:7" ht="15.75" customHeight="1" x14ac:dyDescent="0.25">
      <c r="A55" s="3"/>
      <c r="B55" s="3"/>
      <c r="C55" s="3"/>
      <c r="D55" s="3"/>
      <c r="E55" s="3"/>
      <c r="F55" s="3"/>
      <c r="G55" s="3"/>
    </row>
    <row r="56" spans="1:7" ht="15.75" customHeight="1" x14ac:dyDescent="0.25">
      <c r="A56" s="3"/>
      <c r="B56" s="3"/>
      <c r="C56" s="3"/>
      <c r="D56" s="3"/>
      <c r="E56" s="3"/>
      <c r="F56" s="3"/>
      <c r="G56" s="3"/>
    </row>
    <row r="57" spans="1:7" ht="15.75" customHeight="1" x14ac:dyDescent="0.25">
      <c r="A57" s="3"/>
      <c r="B57" s="3"/>
      <c r="C57" s="3"/>
      <c r="D57" s="3"/>
      <c r="E57" s="3"/>
      <c r="F57" s="3"/>
      <c r="G57" s="3"/>
    </row>
    <row r="58" spans="1:7" ht="15.75" customHeight="1" x14ac:dyDescent="0.25">
      <c r="A58" s="3"/>
      <c r="B58" s="3"/>
      <c r="C58" s="3"/>
      <c r="D58" s="3"/>
      <c r="E58" s="3"/>
      <c r="F58" s="3"/>
      <c r="G58" s="3"/>
    </row>
    <row r="59" spans="1:7" ht="15.75" customHeight="1" x14ac:dyDescent="0.25">
      <c r="A59" s="3"/>
      <c r="B59" s="3"/>
      <c r="C59" s="3"/>
      <c r="D59" s="3"/>
      <c r="E59" s="3"/>
      <c r="F59" s="3"/>
      <c r="G59" s="3"/>
    </row>
    <row r="60" spans="1:7" ht="15.75" customHeight="1" x14ac:dyDescent="0.25">
      <c r="A60" s="3"/>
      <c r="B60" s="3"/>
      <c r="C60" s="3"/>
      <c r="D60" s="3"/>
      <c r="E60" s="3"/>
      <c r="F60" s="3"/>
      <c r="G60" s="3"/>
    </row>
    <row r="61" spans="1:7" ht="15.75" customHeight="1" x14ac:dyDescent="0.25">
      <c r="A61" s="3"/>
      <c r="B61" s="3"/>
      <c r="C61" s="3"/>
      <c r="D61" s="3"/>
      <c r="E61" s="3"/>
      <c r="F61" s="3"/>
      <c r="G61" s="3"/>
    </row>
    <row r="62" spans="1:7" ht="15.75" customHeight="1" x14ac:dyDescent="0.25">
      <c r="A62" s="3"/>
      <c r="B62" s="3"/>
      <c r="C62" s="3"/>
      <c r="D62" s="3"/>
      <c r="E62" s="3"/>
      <c r="F62" s="3"/>
      <c r="G62" s="3"/>
    </row>
    <row r="63" spans="1:7" ht="15.75" customHeight="1" x14ac:dyDescent="0.25">
      <c r="A63" s="3"/>
      <c r="B63" s="3"/>
      <c r="C63" s="3"/>
      <c r="D63" s="3"/>
      <c r="E63" s="3"/>
      <c r="F63" s="3"/>
      <c r="G63" s="3"/>
    </row>
    <row r="64" spans="1:7" ht="15.75" customHeight="1" x14ac:dyDescent="0.25">
      <c r="A64" s="3"/>
      <c r="B64" s="3"/>
      <c r="C64" s="3"/>
      <c r="D64" s="3"/>
      <c r="E64" s="3"/>
      <c r="F64" s="3"/>
      <c r="G64" s="3"/>
    </row>
    <row r="65" spans="1:7" ht="15.75" customHeight="1" x14ac:dyDescent="0.25">
      <c r="A65" s="3"/>
      <c r="B65" s="3"/>
      <c r="C65" s="3"/>
      <c r="D65" s="3"/>
      <c r="E65" s="3"/>
      <c r="F65" s="3"/>
      <c r="G65" s="3"/>
    </row>
    <row r="66" spans="1:7" ht="15.75" customHeight="1" x14ac:dyDescent="0.25">
      <c r="A66" s="3"/>
      <c r="B66" s="3"/>
      <c r="C66" s="3"/>
      <c r="D66" s="3"/>
      <c r="E66" s="3"/>
      <c r="F66" s="3"/>
      <c r="G66" s="3"/>
    </row>
    <row r="67" spans="1:7" ht="15.75" customHeight="1" x14ac:dyDescent="0.25">
      <c r="A67" s="3"/>
      <c r="B67" s="3"/>
      <c r="C67" s="3"/>
      <c r="D67" s="3"/>
      <c r="E67" s="3"/>
      <c r="F67" s="3"/>
      <c r="G67" s="3"/>
    </row>
    <row r="68" spans="1:7" ht="15.75" customHeight="1" x14ac:dyDescent="0.25">
      <c r="A68" s="3"/>
      <c r="B68" s="3"/>
      <c r="C68" s="3"/>
      <c r="D68" s="3"/>
      <c r="E68" s="3"/>
      <c r="F68" s="3"/>
      <c r="G68" s="3"/>
    </row>
    <row r="69" spans="1:7" ht="15.75" customHeight="1" x14ac:dyDescent="0.25">
      <c r="A69" s="3"/>
      <c r="B69" s="3"/>
      <c r="C69" s="3"/>
      <c r="D69" s="3"/>
      <c r="E69" s="3"/>
      <c r="F69" s="3"/>
      <c r="G69" s="3"/>
    </row>
    <row r="70" spans="1:7" ht="15.75" customHeight="1" x14ac:dyDescent="0.25">
      <c r="A70" s="3"/>
      <c r="B70" s="3"/>
      <c r="C70" s="3"/>
      <c r="D70" s="3"/>
      <c r="E70" s="3"/>
      <c r="F70" s="3"/>
      <c r="G70" s="3"/>
    </row>
    <row r="71" spans="1:7" ht="15.75" customHeight="1" x14ac:dyDescent="0.25">
      <c r="A71" s="3"/>
      <c r="B71" s="3"/>
      <c r="C71" s="3"/>
      <c r="D71" s="3"/>
      <c r="E71" s="3"/>
      <c r="F71" s="3"/>
      <c r="G71" s="3"/>
    </row>
    <row r="72" spans="1:7" ht="15.75" customHeight="1" x14ac:dyDescent="0.25">
      <c r="A72" s="3"/>
      <c r="B72" s="3"/>
      <c r="C72" s="3"/>
      <c r="D72" s="3"/>
      <c r="E72" s="3"/>
      <c r="F72" s="3"/>
      <c r="G72" s="3"/>
    </row>
    <row r="73" spans="1:7" ht="15.75" customHeight="1" x14ac:dyDescent="0.25">
      <c r="A73" s="3"/>
      <c r="B73" s="3"/>
      <c r="C73" s="3"/>
      <c r="D73" s="3"/>
      <c r="E73" s="3"/>
      <c r="F73" s="3"/>
      <c r="G73" s="3"/>
    </row>
    <row r="74" spans="1:7" ht="15.75" customHeight="1" x14ac:dyDescent="0.25">
      <c r="A74" s="3"/>
      <c r="B74" s="3"/>
      <c r="C74" s="3"/>
      <c r="D74" s="3"/>
      <c r="E74" s="3"/>
      <c r="F74" s="3"/>
      <c r="G74" s="3"/>
    </row>
    <row r="75" spans="1:7" ht="15.75" customHeight="1" x14ac:dyDescent="0.25">
      <c r="A75" s="3"/>
      <c r="B75" s="3"/>
      <c r="C75" s="3"/>
      <c r="D75" s="3"/>
      <c r="E75" s="3"/>
      <c r="F75" s="3"/>
      <c r="G75" s="3"/>
    </row>
    <row r="76" spans="1:7" ht="15.75" customHeight="1" x14ac:dyDescent="0.25">
      <c r="A76" s="3"/>
      <c r="B76" s="3"/>
      <c r="C76" s="3"/>
      <c r="D76" s="3"/>
      <c r="E76" s="3"/>
      <c r="F76" s="3"/>
      <c r="G76" s="3"/>
    </row>
    <row r="77" spans="1:7" ht="15.75" customHeight="1" x14ac:dyDescent="0.25">
      <c r="A77" s="3"/>
      <c r="B77" s="3"/>
      <c r="C77" s="3"/>
      <c r="D77" s="3"/>
      <c r="E77" s="3"/>
      <c r="F77" s="3"/>
      <c r="G77" s="3"/>
    </row>
    <row r="78" spans="1:7" ht="15.75" customHeight="1" x14ac:dyDescent="0.25">
      <c r="A78" s="3"/>
      <c r="B78" s="3"/>
      <c r="C78" s="3"/>
      <c r="D78" s="3"/>
      <c r="E78" s="3"/>
      <c r="F78" s="3"/>
      <c r="G78" s="3"/>
    </row>
    <row r="79" spans="1:7" ht="15.75" customHeight="1" x14ac:dyDescent="0.25">
      <c r="A79" s="3"/>
      <c r="B79" s="3"/>
      <c r="C79" s="3"/>
      <c r="D79" s="3"/>
      <c r="E79" s="3"/>
      <c r="F79" s="3"/>
      <c r="G79" s="3"/>
    </row>
    <row r="80" spans="1:7" ht="15.75" customHeight="1" x14ac:dyDescent="0.25">
      <c r="A80" s="3"/>
      <c r="B80" s="3"/>
      <c r="C80" s="3"/>
      <c r="D80" s="3"/>
      <c r="E80" s="3"/>
      <c r="F80" s="3"/>
      <c r="G80" s="3"/>
    </row>
    <row r="81" spans="1:7" ht="15.75" customHeight="1" x14ac:dyDescent="0.25">
      <c r="A81" s="3"/>
      <c r="B81" s="3"/>
      <c r="C81" s="3"/>
      <c r="D81" s="3"/>
      <c r="E81" s="3"/>
      <c r="F81" s="3"/>
      <c r="G81" s="3"/>
    </row>
    <row r="82" spans="1:7" ht="15.75" customHeight="1" x14ac:dyDescent="0.25">
      <c r="A82" s="3"/>
      <c r="B82" s="3"/>
      <c r="C82" s="3"/>
      <c r="D82" s="3"/>
      <c r="E82" s="3"/>
      <c r="F82" s="3"/>
      <c r="G82" s="3"/>
    </row>
    <row r="83" spans="1:7" ht="15.75" customHeight="1" x14ac:dyDescent="0.25">
      <c r="A83" s="3"/>
      <c r="B83" s="3"/>
      <c r="C83" s="3"/>
      <c r="D83" s="3"/>
      <c r="E83" s="3"/>
      <c r="F83" s="3"/>
      <c r="G83" s="3"/>
    </row>
    <row r="84" spans="1:7" ht="15.75" customHeight="1" x14ac:dyDescent="0.25">
      <c r="A84" s="3"/>
      <c r="B84" s="3"/>
      <c r="C84" s="3"/>
      <c r="D84" s="3"/>
      <c r="E84" s="3"/>
      <c r="F84" s="3"/>
      <c r="G84" s="3"/>
    </row>
    <row r="85" spans="1:7" ht="15.75" customHeight="1" x14ac:dyDescent="0.25">
      <c r="A85" s="3"/>
      <c r="B85" s="3"/>
      <c r="C85" s="3"/>
      <c r="D85" s="3"/>
      <c r="E85" s="3"/>
      <c r="F85" s="3"/>
      <c r="G85" s="3"/>
    </row>
    <row r="86" spans="1:7" ht="15.75" customHeight="1" x14ac:dyDescent="0.25">
      <c r="A86" s="3"/>
      <c r="B86" s="3"/>
      <c r="C86" s="3"/>
      <c r="D86" s="3"/>
      <c r="E86" s="3"/>
      <c r="F86" s="3"/>
      <c r="G86" s="3"/>
    </row>
    <row r="87" spans="1:7" ht="15.75" customHeight="1" x14ac:dyDescent="0.25">
      <c r="A87" s="3"/>
      <c r="B87" s="3"/>
      <c r="C87" s="3"/>
      <c r="D87" s="3"/>
      <c r="E87" s="3"/>
      <c r="F87" s="3"/>
      <c r="G87" s="3"/>
    </row>
    <row r="88" spans="1:7" ht="15.75" customHeight="1" x14ac:dyDescent="0.25">
      <c r="A88" s="3"/>
      <c r="B88" s="3"/>
      <c r="C88" s="3"/>
      <c r="D88" s="3"/>
      <c r="E88" s="3"/>
      <c r="F88" s="3"/>
      <c r="G88" s="3"/>
    </row>
    <row r="89" spans="1:7" ht="15.75" customHeight="1" x14ac:dyDescent="0.25">
      <c r="A89" s="3"/>
      <c r="B89" s="3"/>
      <c r="C89" s="3"/>
      <c r="D89" s="3"/>
      <c r="E89" s="3"/>
      <c r="F89" s="3"/>
      <c r="G89" s="3"/>
    </row>
    <row r="90" spans="1:7" ht="15.75" customHeight="1" x14ac:dyDescent="0.25">
      <c r="A90" s="3"/>
      <c r="B90" s="3"/>
      <c r="C90" s="3"/>
      <c r="D90" s="3"/>
      <c r="E90" s="3"/>
      <c r="F90" s="3"/>
      <c r="G90" s="3"/>
    </row>
    <row r="91" spans="1:7" ht="15.75" customHeight="1" x14ac:dyDescent="0.25">
      <c r="A91" s="3"/>
      <c r="B91" s="3"/>
      <c r="C91" s="3"/>
      <c r="D91" s="3"/>
      <c r="E91" s="3"/>
      <c r="F91" s="3"/>
      <c r="G91" s="3"/>
    </row>
    <row r="92" spans="1:7" ht="15.75" customHeight="1" x14ac:dyDescent="0.25">
      <c r="A92" s="3"/>
      <c r="B92" s="3"/>
      <c r="C92" s="3"/>
      <c r="D92" s="3"/>
      <c r="E92" s="3"/>
      <c r="F92" s="3"/>
      <c r="G92" s="3"/>
    </row>
    <row r="93" spans="1:7" ht="15.75" customHeight="1" x14ac:dyDescent="0.25">
      <c r="A93" s="3"/>
      <c r="B93" s="3"/>
      <c r="C93" s="3"/>
      <c r="D93" s="3"/>
      <c r="E93" s="3"/>
      <c r="F93" s="3"/>
      <c r="G93" s="3"/>
    </row>
    <row r="94" spans="1:7" ht="15.75" customHeight="1" x14ac:dyDescent="0.25">
      <c r="A94" s="3"/>
      <c r="B94" s="3"/>
      <c r="C94" s="3"/>
      <c r="D94" s="3"/>
      <c r="E94" s="3"/>
      <c r="F94" s="3"/>
      <c r="G94" s="3"/>
    </row>
    <row r="95" spans="1:7" ht="15.75" customHeight="1" x14ac:dyDescent="0.25">
      <c r="A95" s="3"/>
      <c r="B95" s="3"/>
      <c r="C95" s="3"/>
      <c r="D95" s="3"/>
      <c r="E95" s="3"/>
      <c r="F95" s="3"/>
      <c r="G95" s="3"/>
    </row>
    <row r="96" spans="1:7" ht="15.75" customHeight="1" x14ac:dyDescent="0.25">
      <c r="A96" s="3"/>
      <c r="B96" s="3"/>
      <c r="C96" s="3"/>
      <c r="D96" s="3"/>
      <c r="E96" s="3"/>
      <c r="F96" s="3"/>
      <c r="G96" s="3"/>
    </row>
    <row r="97" spans="1:7" ht="15.75" customHeight="1" x14ac:dyDescent="0.25">
      <c r="A97" s="3"/>
      <c r="B97" s="3"/>
      <c r="C97" s="3"/>
      <c r="D97" s="3"/>
      <c r="E97" s="3"/>
      <c r="F97" s="3"/>
      <c r="G97" s="3"/>
    </row>
    <row r="98" spans="1:7" ht="15.75" customHeight="1" x14ac:dyDescent="0.25">
      <c r="A98" s="3"/>
      <c r="B98" s="3"/>
      <c r="C98" s="3"/>
      <c r="D98" s="3"/>
      <c r="E98" s="3"/>
      <c r="F98" s="3"/>
      <c r="G98" s="3"/>
    </row>
    <row r="99" spans="1:7" ht="15.75" customHeight="1" x14ac:dyDescent="0.25">
      <c r="A99" s="3"/>
      <c r="B99" s="3"/>
      <c r="C99" s="3"/>
      <c r="D99" s="3"/>
      <c r="E99" s="3"/>
      <c r="F99" s="3"/>
      <c r="G99" s="3"/>
    </row>
    <row r="100" spans="1:7" ht="15.75" customHeight="1" x14ac:dyDescent="0.25">
      <c r="A100" s="3"/>
      <c r="B100" s="3"/>
      <c r="C100" s="3"/>
      <c r="D100" s="3"/>
      <c r="E100" s="3"/>
      <c r="F100" s="3"/>
      <c r="G100" s="3"/>
    </row>
  </sheetData>
  <mergeCells count="4">
    <mergeCell ref="A1:G1"/>
    <mergeCell ref="A2:G2"/>
    <mergeCell ref="A48:C48"/>
    <mergeCell ref="A50:C50"/>
  </mergeCells>
  <pageMargins left="0.75" right="0.75" top="1" bottom="1" header="0" footer="0"/>
  <pageSetup paperSize="9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100"/>
  <sheetViews>
    <sheetView showGridLines="0" workbookViewId="0">
      <selection activeCell="F10" sqref="F10"/>
    </sheetView>
  </sheetViews>
  <sheetFormatPr defaultColWidth="14.42578125" defaultRowHeight="15" customHeight="1" x14ac:dyDescent="0.25"/>
  <cols>
    <col min="1" max="1" width="28.28515625" bestFit="1" customWidth="1"/>
    <col min="2" max="2" width="12" bestFit="1" customWidth="1"/>
    <col min="3" max="3" width="22.7109375" customWidth="1"/>
    <col min="4" max="5" width="22" customWidth="1"/>
    <col min="6" max="6" width="24" customWidth="1"/>
    <col min="7" max="7" width="38" customWidth="1"/>
    <col min="8" max="11" width="8.5703125" customWidth="1"/>
  </cols>
  <sheetData>
    <row r="1" spans="1:7" ht="21.75" customHeight="1" x14ac:dyDescent="0.25">
      <c r="A1" s="173" t="s">
        <v>339</v>
      </c>
      <c r="B1" s="146"/>
      <c r="C1" s="146"/>
      <c r="D1" s="146"/>
      <c r="E1" s="146"/>
      <c r="F1" s="146"/>
      <c r="G1" s="147"/>
    </row>
    <row r="2" spans="1:7" ht="15" customHeight="1" x14ac:dyDescent="0.25">
      <c r="A2" s="168" t="s">
        <v>10</v>
      </c>
      <c r="B2" s="146"/>
      <c r="C2" s="146"/>
      <c r="D2" s="146"/>
      <c r="E2" s="146"/>
      <c r="F2" s="146"/>
      <c r="G2" s="147"/>
    </row>
    <row r="3" spans="1:7" ht="15" customHeight="1" x14ac:dyDescent="0.25">
      <c r="A3" s="18" t="s">
        <v>340</v>
      </c>
      <c r="B3" s="19">
        <v>13000</v>
      </c>
      <c r="C3" s="110" t="s">
        <v>341</v>
      </c>
      <c r="D3" s="3"/>
      <c r="E3" s="3"/>
      <c r="F3" s="3"/>
      <c r="G3" s="3"/>
    </row>
    <row r="4" spans="1:7" ht="15" customHeight="1" x14ac:dyDescent="0.25">
      <c r="A4" s="18" t="s">
        <v>342</v>
      </c>
      <c r="B4" s="19">
        <v>1500</v>
      </c>
      <c r="C4" s="110" t="s">
        <v>343</v>
      </c>
      <c r="D4" s="3"/>
      <c r="E4" s="3"/>
      <c r="F4" s="3"/>
      <c r="G4" s="3"/>
    </row>
    <row r="5" spans="1:7" ht="15" customHeight="1" x14ac:dyDescent="0.25">
      <c r="A5" s="18" t="s">
        <v>17</v>
      </c>
      <c r="B5" s="21">
        <v>1.1599999999999999E-2</v>
      </c>
      <c r="C5" s="110" t="s">
        <v>17</v>
      </c>
      <c r="D5" s="3"/>
      <c r="E5" s="3"/>
      <c r="F5" s="3"/>
      <c r="G5" s="3"/>
    </row>
    <row r="6" spans="1:7" ht="15" customHeight="1" x14ac:dyDescent="0.25">
      <c r="A6" s="18" t="s">
        <v>344</v>
      </c>
      <c r="B6" s="113">
        <v>46296</v>
      </c>
      <c r="C6" s="110" t="s">
        <v>345</v>
      </c>
      <c r="D6" s="3"/>
      <c r="E6" s="3"/>
      <c r="F6" s="3"/>
      <c r="G6" s="3"/>
    </row>
    <row r="7" spans="1:7" ht="15" customHeight="1" x14ac:dyDescent="0.25">
      <c r="A7" s="172" t="s">
        <v>346</v>
      </c>
      <c r="B7" s="171"/>
      <c r="C7" s="171"/>
      <c r="D7" s="171"/>
      <c r="E7" s="171"/>
      <c r="F7" s="171"/>
      <c r="G7" s="171"/>
    </row>
    <row r="8" spans="1:7" ht="30" customHeight="1" x14ac:dyDescent="0.25">
      <c r="A8" s="119" t="s">
        <v>21</v>
      </c>
      <c r="B8" s="119" t="s">
        <v>22</v>
      </c>
      <c r="C8" s="119" t="s">
        <v>347</v>
      </c>
      <c r="D8" s="119" t="s">
        <v>348</v>
      </c>
      <c r="E8" s="119" t="s">
        <v>349</v>
      </c>
      <c r="F8" s="119" t="s">
        <v>350</v>
      </c>
      <c r="G8" s="3"/>
    </row>
    <row r="9" spans="1:7" ht="15" customHeight="1" x14ac:dyDescent="0.25">
      <c r="A9" s="115">
        <v>1</v>
      </c>
      <c r="B9" s="116">
        <f>$B$6</f>
        <v>46296</v>
      </c>
      <c r="C9" s="120">
        <f>'💳 Empréstimo'!$B$10</f>
        <v>206.87287679759979</v>
      </c>
      <c r="D9" s="121">
        <f>$B$3*$B$5</f>
        <v>150.79999999999998</v>
      </c>
      <c r="E9" s="81">
        <f t="shared" ref="E9:E45" si="0">D9-C9</f>
        <v>-56.072876797599804</v>
      </c>
      <c r="F9" s="81">
        <f>$B$3+$B$4+D9</f>
        <v>14650.8</v>
      </c>
      <c r="G9" s="3"/>
    </row>
    <row r="10" spans="1:7" ht="15" customHeight="1" x14ac:dyDescent="0.25">
      <c r="A10" s="115">
        <v>2</v>
      </c>
      <c r="B10" s="116">
        <f t="shared" ref="B10:B44" si="1">EDATE(B9,1)</f>
        <v>46327</v>
      </c>
      <c r="C10" s="120">
        <f>'💳 Empréstimo'!$B$10</f>
        <v>206.87287679759979</v>
      </c>
      <c r="D10" s="121">
        <f t="shared" ref="D10:D44" si="2">F9*$B$5</f>
        <v>169.94927999999999</v>
      </c>
      <c r="E10" s="81">
        <f t="shared" si="0"/>
        <v>-36.923596797599799</v>
      </c>
      <c r="F10" s="81">
        <f t="shared" ref="F10:F44" si="3">F9+$B$4+D10</f>
        <v>16320.74928</v>
      </c>
      <c r="G10" s="3"/>
    </row>
    <row r="11" spans="1:7" ht="15" customHeight="1" x14ac:dyDescent="0.25">
      <c r="A11" s="115">
        <v>3</v>
      </c>
      <c r="B11" s="116">
        <f t="shared" si="1"/>
        <v>46357</v>
      </c>
      <c r="C11" s="120">
        <f>'💳 Empréstimo'!$B$10</f>
        <v>206.87287679759979</v>
      </c>
      <c r="D11" s="121">
        <f t="shared" si="2"/>
        <v>189.32069164799998</v>
      </c>
      <c r="E11" s="81">
        <f t="shared" si="0"/>
        <v>-17.552185149599808</v>
      </c>
      <c r="F11" s="81">
        <f t="shared" si="3"/>
        <v>18010.069971648001</v>
      </c>
      <c r="G11" s="3"/>
    </row>
    <row r="12" spans="1:7" ht="15" customHeight="1" x14ac:dyDescent="0.25">
      <c r="A12" s="115">
        <v>4</v>
      </c>
      <c r="B12" s="116">
        <f t="shared" si="1"/>
        <v>46388</v>
      </c>
      <c r="C12" s="120">
        <f>'💳 Empréstimo'!$B$10</f>
        <v>206.87287679759979</v>
      </c>
      <c r="D12" s="121">
        <f t="shared" si="2"/>
        <v>208.91681167111679</v>
      </c>
      <c r="E12" s="81">
        <f t="shared" si="0"/>
        <v>2.0439348735170029</v>
      </c>
      <c r="F12" s="81">
        <f t="shared" si="3"/>
        <v>19718.986783319117</v>
      </c>
      <c r="G12" s="3"/>
    </row>
    <row r="13" spans="1:7" ht="15" customHeight="1" x14ac:dyDescent="0.25">
      <c r="A13" s="115">
        <v>5</v>
      </c>
      <c r="B13" s="116">
        <f t="shared" si="1"/>
        <v>46419</v>
      </c>
      <c r="C13" s="120">
        <f>'💳 Empréstimo'!$B$10</f>
        <v>206.87287679759979</v>
      </c>
      <c r="D13" s="121">
        <f t="shared" si="2"/>
        <v>228.74024668650173</v>
      </c>
      <c r="E13" s="81">
        <f t="shared" si="0"/>
        <v>21.867369888901948</v>
      </c>
      <c r="F13" s="81">
        <f t="shared" si="3"/>
        <v>21447.727030005619</v>
      </c>
      <c r="G13" s="3"/>
    </row>
    <row r="14" spans="1:7" ht="15" customHeight="1" x14ac:dyDescent="0.25">
      <c r="A14" s="115">
        <v>6</v>
      </c>
      <c r="B14" s="116">
        <f t="shared" si="1"/>
        <v>46447</v>
      </c>
      <c r="C14" s="120">
        <f>'💳 Empréstimo'!$B$10</f>
        <v>206.87287679759979</v>
      </c>
      <c r="D14" s="121">
        <f t="shared" si="2"/>
        <v>248.79363354806517</v>
      </c>
      <c r="E14" s="81">
        <f t="shared" si="0"/>
        <v>41.920756750465387</v>
      </c>
      <c r="F14" s="81">
        <f t="shared" si="3"/>
        <v>23196.520663553685</v>
      </c>
      <c r="G14" s="3"/>
    </row>
    <row r="15" spans="1:7" ht="15" customHeight="1" x14ac:dyDescent="0.25">
      <c r="A15" s="115">
        <v>7</v>
      </c>
      <c r="B15" s="116">
        <f t="shared" si="1"/>
        <v>46478</v>
      </c>
      <c r="C15" s="120">
        <f>'💳 Empréstimo'!$B$10</f>
        <v>206.87287679759979</v>
      </c>
      <c r="D15" s="121">
        <f t="shared" si="2"/>
        <v>269.07963969722272</v>
      </c>
      <c r="E15" s="81">
        <f t="shared" si="0"/>
        <v>62.20676289962293</v>
      </c>
      <c r="F15" s="81">
        <f t="shared" si="3"/>
        <v>24965.600303250907</v>
      </c>
      <c r="G15" s="3"/>
    </row>
    <row r="16" spans="1:7" ht="15" customHeight="1" x14ac:dyDescent="0.25">
      <c r="A16" s="115">
        <v>8</v>
      </c>
      <c r="B16" s="116">
        <f t="shared" si="1"/>
        <v>46508</v>
      </c>
      <c r="C16" s="120">
        <f>'💳 Empréstimo'!$B$10</f>
        <v>206.87287679759979</v>
      </c>
      <c r="D16" s="121">
        <f t="shared" si="2"/>
        <v>289.60096351771051</v>
      </c>
      <c r="E16" s="81">
        <f t="shared" si="0"/>
        <v>82.728086720110724</v>
      </c>
      <c r="F16" s="81">
        <f t="shared" si="3"/>
        <v>26755.201266768618</v>
      </c>
      <c r="G16" s="3"/>
    </row>
    <row r="17" spans="1:7" ht="15" customHeight="1" x14ac:dyDescent="0.25">
      <c r="A17" s="115">
        <v>9</v>
      </c>
      <c r="B17" s="116">
        <f t="shared" si="1"/>
        <v>46539</v>
      </c>
      <c r="C17" s="120">
        <f>'💳 Empréstimo'!$B$10</f>
        <v>206.87287679759979</v>
      </c>
      <c r="D17" s="121">
        <f t="shared" si="2"/>
        <v>310.36033469451593</v>
      </c>
      <c r="E17" s="81">
        <f t="shared" si="0"/>
        <v>103.48745789691614</v>
      </c>
      <c r="F17" s="81">
        <f t="shared" si="3"/>
        <v>28565.561601463134</v>
      </c>
      <c r="G17" s="3"/>
    </row>
    <row r="18" spans="1:7" ht="15" customHeight="1" x14ac:dyDescent="0.25">
      <c r="A18" s="115">
        <v>10</v>
      </c>
      <c r="B18" s="116">
        <f t="shared" si="1"/>
        <v>46569</v>
      </c>
      <c r="C18" s="120">
        <f>'💳 Empréstimo'!$B$10</f>
        <v>206.87287679759979</v>
      </c>
      <c r="D18" s="121">
        <f t="shared" si="2"/>
        <v>331.36051457697232</v>
      </c>
      <c r="E18" s="81">
        <f t="shared" si="0"/>
        <v>124.48763777937253</v>
      </c>
      <c r="F18" s="81">
        <f t="shared" si="3"/>
        <v>30396.922116040107</v>
      </c>
      <c r="G18" s="3"/>
    </row>
    <row r="19" spans="1:7" ht="15" customHeight="1" x14ac:dyDescent="0.25">
      <c r="A19" s="115">
        <v>11</v>
      </c>
      <c r="B19" s="116">
        <f t="shared" si="1"/>
        <v>46600</v>
      </c>
      <c r="C19" s="120">
        <f>'💳 Empréstimo'!$B$10</f>
        <v>206.87287679759979</v>
      </c>
      <c r="D19" s="121">
        <f t="shared" si="2"/>
        <v>352.6042965460652</v>
      </c>
      <c r="E19" s="81">
        <f t="shared" si="0"/>
        <v>145.73141974846541</v>
      </c>
      <c r="F19" s="81">
        <f t="shared" si="3"/>
        <v>32249.526412586172</v>
      </c>
      <c r="G19" s="3"/>
    </row>
    <row r="20" spans="1:7" ht="15" customHeight="1" x14ac:dyDescent="0.25">
      <c r="A20" s="115">
        <v>12</v>
      </c>
      <c r="B20" s="116">
        <f t="shared" si="1"/>
        <v>46631</v>
      </c>
      <c r="C20" s="120">
        <f>'💳 Empréstimo'!$B$10</f>
        <v>206.87287679759979</v>
      </c>
      <c r="D20" s="121">
        <f t="shared" si="2"/>
        <v>374.09450638599958</v>
      </c>
      <c r="E20" s="81">
        <f t="shared" si="0"/>
        <v>167.22162958839979</v>
      </c>
      <c r="F20" s="81">
        <f t="shared" si="3"/>
        <v>34123.62091897217</v>
      </c>
      <c r="G20" s="3"/>
    </row>
    <row r="21" spans="1:7" ht="15" customHeight="1" x14ac:dyDescent="0.25">
      <c r="A21" s="115">
        <v>13</v>
      </c>
      <c r="B21" s="116">
        <f t="shared" si="1"/>
        <v>46661</v>
      </c>
      <c r="C21" s="120">
        <f>'💳 Empréstimo'!$B$10</f>
        <v>206.87287679759979</v>
      </c>
      <c r="D21" s="121">
        <f t="shared" si="2"/>
        <v>395.83400266007715</v>
      </c>
      <c r="E21" s="81">
        <f t="shared" si="0"/>
        <v>188.96112586247736</v>
      </c>
      <c r="F21" s="81">
        <f t="shared" si="3"/>
        <v>36019.454921632248</v>
      </c>
      <c r="G21" s="3"/>
    </row>
    <row r="22" spans="1:7" ht="15" customHeight="1" x14ac:dyDescent="0.25">
      <c r="A22" s="115">
        <v>14</v>
      </c>
      <c r="B22" s="116">
        <f t="shared" si="1"/>
        <v>46692</v>
      </c>
      <c r="C22" s="120">
        <f>'💳 Empréstimo'!$B$10</f>
        <v>206.87287679759979</v>
      </c>
      <c r="D22" s="121">
        <f t="shared" si="2"/>
        <v>417.82567709093405</v>
      </c>
      <c r="E22" s="81">
        <f t="shared" si="0"/>
        <v>210.95280029333426</v>
      </c>
      <c r="F22" s="81">
        <f t="shared" si="3"/>
        <v>37937.280598723184</v>
      </c>
      <c r="G22" s="3"/>
    </row>
    <row r="23" spans="1:7" ht="15" customHeight="1" x14ac:dyDescent="0.25">
      <c r="A23" s="115">
        <v>15</v>
      </c>
      <c r="B23" s="116">
        <f t="shared" si="1"/>
        <v>46722</v>
      </c>
      <c r="C23" s="120">
        <f>'💳 Empréstimo'!$B$10</f>
        <v>206.87287679759979</v>
      </c>
      <c r="D23" s="121">
        <f t="shared" si="2"/>
        <v>440.07245494518889</v>
      </c>
      <c r="E23" s="81">
        <f t="shared" si="0"/>
        <v>233.19957814758911</v>
      </c>
      <c r="F23" s="81">
        <f t="shared" si="3"/>
        <v>39877.353053668376</v>
      </c>
      <c r="G23" s="3"/>
    </row>
    <row r="24" spans="1:7" ht="15" customHeight="1" x14ac:dyDescent="0.25">
      <c r="A24" s="115">
        <v>16</v>
      </c>
      <c r="B24" s="116">
        <f t="shared" si="1"/>
        <v>46753</v>
      </c>
      <c r="C24" s="120">
        <f>'💳 Empréstimo'!$B$10</f>
        <v>206.87287679759979</v>
      </c>
      <c r="D24" s="121">
        <f t="shared" si="2"/>
        <v>462.57729542255311</v>
      </c>
      <c r="E24" s="81">
        <f t="shared" si="0"/>
        <v>255.70441862495332</v>
      </c>
      <c r="F24" s="81">
        <f t="shared" si="3"/>
        <v>41839.93034909093</v>
      </c>
      <c r="G24" s="3"/>
    </row>
    <row r="25" spans="1:7" ht="15" customHeight="1" x14ac:dyDescent="0.25">
      <c r="A25" s="115">
        <v>17</v>
      </c>
      <c r="B25" s="116">
        <f t="shared" si="1"/>
        <v>46784</v>
      </c>
      <c r="C25" s="120">
        <f>'💳 Empréstimo'!$B$10</f>
        <v>206.87287679759979</v>
      </c>
      <c r="D25" s="121">
        <f t="shared" si="2"/>
        <v>485.34319204945473</v>
      </c>
      <c r="E25" s="81">
        <f t="shared" si="0"/>
        <v>278.47031525185491</v>
      </c>
      <c r="F25" s="81">
        <f t="shared" si="3"/>
        <v>43825.273541140385</v>
      </c>
      <c r="G25" s="3"/>
    </row>
    <row r="26" spans="1:7" ht="15" customHeight="1" x14ac:dyDescent="0.25">
      <c r="A26" s="115">
        <v>18</v>
      </c>
      <c r="B26" s="116">
        <f t="shared" si="1"/>
        <v>46813</v>
      </c>
      <c r="C26" s="120">
        <f>'💳 Empréstimo'!$B$10</f>
        <v>206.87287679759979</v>
      </c>
      <c r="D26" s="121">
        <f t="shared" si="2"/>
        <v>508.37317307722844</v>
      </c>
      <c r="E26" s="81">
        <f t="shared" si="0"/>
        <v>301.50029627962863</v>
      </c>
      <c r="F26" s="81">
        <f t="shared" si="3"/>
        <v>45833.646714217612</v>
      </c>
      <c r="G26" s="3"/>
    </row>
    <row r="27" spans="1:7" ht="15" customHeight="1" x14ac:dyDescent="0.25">
      <c r="A27" s="115">
        <v>19</v>
      </c>
      <c r="B27" s="116">
        <f t="shared" si="1"/>
        <v>46844</v>
      </c>
      <c r="C27" s="120">
        <f>'💳 Empréstimo'!$B$10</f>
        <v>206.87287679759979</v>
      </c>
      <c r="D27" s="121">
        <f t="shared" si="2"/>
        <v>531.67030188492424</v>
      </c>
      <c r="E27" s="81">
        <f t="shared" si="0"/>
        <v>324.79742508732443</v>
      </c>
      <c r="F27" s="81">
        <f t="shared" si="3"/>
        <v>47865.317016102534</v>
      </c>
      <c r="G27" s="3"/>
    </row>
    <row r="28" spans="1:7" ht="15" customHeight="1" x14ac:dyDescent="0.25">
      <c r="A28" s="115">
        <v>20</v>
      </c>
      <c r="B28" s="116">
        <f t="shared" si="1"/>
        <v>46874</v>
      </c>
      <c r="C28" s="120">
        <f>'💳 Empréstimo'!$B$10</f>
        <v>206.87287679759979</v>
      </c>
      <c r="D28" s="121">
        <f t="shared" si="2"/>
        <v>555.2376773867893</v>
      </c>
      <c r="E28" s="81">
        <f t="shared" si="0"/>
        <v>348.36480058918949</v>
      </c>
      <c r="F28" s="81">
        <f t="shared" si="3"/>
        <v>49920.554693489321</v>
      </c>
      <c r="G28" s="3"/>
    </row>
    <row r="29" spans="1:7" ht="15" customHeight="1" x14ac:dyDescent="0.25">
      <c r="A29" s="115">
        <v>21</v>
      </c>
      <c r="B29" s="116">
        <f t="shared" si="1"/>
        <v>46905</v>
      </c>
      <c r="C29" s="120">
        <f>'💳 Empréstimo'!$B$10</f>
        <v>206.87287679759979</v>
      </c>
      <c r="D29" s="121">
        <f t="shared" si="2"/>
        <v>579.0784344444761</v>
      </c>
      <c r="E29" s="81">
        <f t="shared" si="0"/>
        <v>372.20555764687629</v>
      </c>
      <c r="F29" s="81">
        <f t="shared" si="3"/>
        <v>51999.633127933797</v>
      </c>
      <c r="G29" s="3"/>
    </row>
    <row r="30" spans="1:7" ht="15" customHeight="1" x14ac:dyDescent="0.25">
      <c r="A30" s="115">
        <v>22</v>
      </c>
      <c r="B30" s="116">
        <f t="shared" si="1"/>
        <v>46935</v>
      </c>
      <c r="C30" s="120">
        <f>'💳 Empréstimo'!$B$10</f>
        <v>206.87287679759979</v>
      </c>
      <c r="D30" s="121">
        <f t="shared" si="2"/>
        <v>603.195744284032</v>
      </c>
      <c r="E30" s="81">
        <f t="shared" si="0"/>
        <v>396.32286748643219</v>
      </c>
      <c r="F30" s="81">
        <f t="shared" si="3"/>
        <v>54102.828872217826</v>
      </c>
      <c r="G30" s="3"/>
    </row>
    <row r="31" spans="1:7" ht="15" customHeight="1" x14ac:dyDescent="0.25">
      <c r="A31" s="115">
        <v>23</v>
      </c>
      <c r="B31" s="116">
        <f t="shared" si="1"/>
        <v>46966</v>
      </c>
      <c r="C31" s="120">
        <f>'💳 Empréstimo'!$B$10</f>
        <v>206.87287679759979</v>
      </c>
      <c r="D31" s="121">
        <f t="shared" si="2"/>
        <v>627.59281491772674</v>
      </c>
      <c r="E31" s="81">
        <f t="shared" si="0"/>
        <v>420.71993812012693</v>
      </c>
      <c r="F31" s="81">
        <f t="shared" si="3"/>
        <v>56230.421687135553</v>
      </c>
      <c r="G31" s="3"/>
    </row>
    <row r="32" spans="1:7" ht="15" customHeight="1" x14ac:dyDescent="0.25">
      <c r="A32" s="115">
        <v>24</v>
      </c>
      <c r="B32" s="116">
        <f t="shared" si="1"/>
        <v>46997</v>
      </c>
      <c r="C32" s="120">
        <f>'💳 Empréstimo'!$B$10</f>
        <v>206.87287679759979</v>
      </c>
      <c r="D32" s="121">
        <f t="shared" si="2"/>
        <v>652.27289157077234</v>
      </c>
      <c r="E32" s="81">
        <f t="shared" si="0"/>
        <v>445.40001477317253</v>
      </c>
      <c r="F32" s="81">
        <f t="shared" si="3"/>
        <v>58382.694578706323</v>
      </c>
      <c r="G32" s="3"/>
    </row>
    <row r="33" spans="1:7" ht="15" customHeight="1" x14ac:dyDescent="0.25">
      <c r="A33" s="115">
        <v>25</v>
      </c>
      <c r="B33" s="116">
        <f t="shared" si="1"/>
        <v>47027</v>
      </c>
      <c r="C33" s="120">
        <f>'💳 Empréstimo'!$B$10</f>
        <v>206.87287679759979</v>
      </c>
      <c r="D33" s="121">
        <f t="shared" si="2"/>
        <v>677.2392571129933</v>
      </c>
      <c r="E33" s="81">
        <f t="shared" si="0"/>
        <v>470.36638031539349</v>
      </c>
      <c r="F33" s="81">
        <f t="shared" si="3"/>
        <v>60559.93383581932</v>
      </c>
      <c r="G33" s="3"/>
    </row>
    <row r="34" spans="1:7" ht="15" customHeight="1" x14ac:dyDescent="0.25">
      <c r="A34" s="115">
        <v>26</v>
      </c>
      <c r="B34" s="116">
        <f t="shared" si="1"/>
        <v>47058</v>
      </c>
      <c r="C34" s="120">
        <f>'💳 Empréstimo'!$B$10</f>
        <v>206.87287679759979</v>
      </c>
      <c r="D34" s="121">
        <f t="shared" si="2"/>
        <v>702.49523249550407</v>
      </c>
      <c r="E34" s="81">
        <f t="shared" si="0"/>
        <v>495.62235569790425</v>
      </c>
      <c r="F34" s="81">
        <f t="shared" si="3"/>
        <v>62762.429068314821</v>
      </c>
      <c r="G34" s="3"/>
    </row>
    <row r="35" spans="1:7" ht="15" customHeight="1" x14ac:dyDescent="0.25">
      <c r="A35" s="115">
        <v>27</v>
      </c>
      <c r="B35" s="116">
        <f t="shared" si="1"/>
        <v>47088</v>
      </c>
      <c r="C35" s="120">
        <f>'💳 Empréstimo'!$B$10</f>
        <v>206.87287679759979</v>
      </c>
      <c r="D35" s="121">
        <f t="shared" si="2"/>
        <v>728.04417719245191</v>
      </c>
      <c r="E35" s="81">
        <f t="shared" si="0"/>
        <v>521.1713003948521</v>
      </c>
      <c r="F35" s="81">
        <f t="shared" si="3"/>
        <v>64990.473245507274</v>
      </c>
      <c r="G35" s="3"/>
    </row>
    <row r="36" spans="1:7" ht="15" customHeight="1" x14ac:dyDescent="0.25">
      <c r="A36" s="115">
        <v>28</v>
      </c>
      <c r="B36" s="116">
        <f t="shared" si="1"/>
        <v>47119</v>
      </c>
      <c r="C36" s="120">
        <f>'💳 Empréstimo'!$B$10</f>
        <v>206.87287679759979</v>
      </c>
      <c r="D36" s="121">
        <f t="shared" si="2"/>
        <v>753.88948964788437</v>
      </c>
      <c r="E36" s="81">
        <f t="shared" si="0"/>
        <v>547.01661285028456</v>
      </c>
      <c r="F36" s="81">
        <f t="shared" si="3"/>
        <v>67244.36273515517</v>
      </c>
      <c r="G36" s="3"/>
    </row>
    <row r="37" spans="1:7" ht="15" customHeight="1" x14ac:dyDescent="0.25">
      <c r="A37" s="115">
        <v>29</v>
      </c>
      <c r="B37" s="116">
        <f t="shared" si="1"/>
        <v>47150</v>
      </c>
      <c r="C37" s="120">
        <f>'💳 Empréstimo'!$B$10</f>
        <v>206.87287679759979</v>
      </c>
      <c r="D37" s="121">
        <f t="shared" si="2"/>
        <v>780.03460772779988</v>
      </c>
      <c r="E37" s="81">
        <f t="shared" si="0"/>
        <v>573.16173093020006</v>
      </c>
      <c r="F37" s="81">
        <f t="shared" si="3"/>
        <v>69524.397342882963</v>
      </c>
      <c r="G37" s="3"/>
    </row>
    <row r="38" spans="1:7" ht="15" customHeight="1" x14ac:dyDescent="0.25">
      <c r="A38" s="115">
        <v>30</v>
      </c>
      <c r="B38" s="116">
        <f t="shared" si="1"/>
        <v>47178</v>
      </c>
      <c r="C38" s="120">
        <f>'💳 Empréstimo'!$B$10</f>
        <v>206.87287679759979</v>
      </c>
      <c r="D38" s="121">
        <f t="shared" si="2"/>
        <v>806.48300917744234</v>
      </c>
      <c r="E38" s="81">
        <f t="shared" si="0"/>
        <v>599.61013237984253</v>
      </c>
      <c r="F38" s="81">
        <f t="shared" si="3"/>
        <v>71830.880352060412</v>
      </c>
      <c r="G38" s="3"/>
    </row>
    <row r="39" spans="1:7" ht="15" customHeight="1" x14ac:dyDescent="0.25">
      <c r="A39" s="115">
        <v>31</v>
      </c>
      <c r="B39" s="116">
        <f t="shared" si="1"/>
        <v>47209</v>
      </c>
      <c r="C39" s="120">
        <f>'💳 Empréstimo'!$B$10</f>
        <v>206.87287679759979</v>
      </c>
      <c r="D39" s="121">
        <f t="shared" si="2"/>
        <v>833.23821208390075</v>
      </c>
      <c r="E39" s="81">
        <f t="shared" si="0"/>
        <v>626.36533528630093</v>
      </c>
      <c r="F39" s="81">
        <f t="shared" si="3"/>
        <v>74164.118564144315</v>
      </c>
      <c r="G39" s="3"/>
    </row>
    <row r="40" spans="1:7" ht="15" customHeight="1" x14ac:dyDescent="0.25">
      <c r="A40" s="115">
        <v>32</v>
      </c>
      <c r="B40" s="116">
        <f t="shared" si="1"/>
        <v>47239</v>
      </c>
      <c r="C40" s="120">
        <f>'💳 Empréstimo'!$B$10</f>
        <v>206.87287679759979</v>
      </c>
      <c r="D40" s="121">
        <f t="shared" si="2"/>
        <v>860.30377534407398</v>
      </c>
      <c r="E40" s="81">
        <f t="shared" si="0"/>
        <v>653.43089854647417</v>
      </c>
      <c r="F40" s="81">
        <f t="shared" si="3"/>
        <v>76524.422339488388</v>
      </c>
      <c r="G40" s="3"/>
    </row>
    <row r="41" spans="1:7" ht="15" customHeight="1" x14ac:dyDescent="0.25">
      <c r="A41" s="115">
        <v>33</v>
      </c>
      <c r="B41" s="116">
        <f t="shared" si="1"/>
        <v>47270</v>
      </c>
      <c r="C41" s="120">
        <f>'💳 Empréstimo'!$B$10</f>
        <v>206.87287679759979</v>
      </c>
      <c r="D41" s="121">
        <f t="shared" si="2"/>
        <v>887.68329913806519</v>
      </c>
      <c r="E41" s="81">
        <f t="shared" si="0"/>
        <v>680.81042234046538</v>
      </c>
      <c r="F41" s="81">
        <f t="shared" si="3"/>
        <v>78912.105638626454</v>
      </c>
      <c r="G41" s="3"/>
    </row>
    <row r="42" spans="1:7" ht="15" customHeight="1" x14ac:dyDescent="0.25">
      <c r="A42" s="115">
        <v>34</v>
      </c>
      <c r="B42" s="116">
        <f t="shared" si="1"/>
        <v>47300</v>
      </c>
      <c r="C42" s="120">
        <f>'💳 Empréstimo'!$B$10</f>
        <v>206.87287679759979</v>
      </c>
      <c r="D42" s="121">
        <f t="shared" si="2"/>
        <v>915.3804254080668</v>
      </c>
      <c r="E42" s="81">
        <f t="shared" si="0"/>
        <v>708.50754861046698</v>
      </c>
      <c r="F42" s="81">
        <f t="shared" si="3"/>
        <v>81327.486064034514</v>
      </c>
      <c r="G42" s="3"/>
    </row>
    <row r="43" spans="1:7" ht="15" customHeight="1" x14ac:dyDescent="0.25">
      <c r="A43" s="115">
        <v>35</v>
      </c>
      <c r="B43" s="116">
        <f t="shared" si="1"/>
        <v>47331</v>
      </c>
      <c r="C43" s="120">
        <f>'💳 Empréstimo'!$B$10</f>
        <v>206.87287679759979</v>
      </c>
      <c r="D43" s="121">
        <f t="shared" si="2"/>
        <v>943.39883834280033</v>
      </c>
      <c r="E43" s="81">
        <f t="shared" si="0"/>
        <v>736.52596154520052</v>
      </c>
      <c r="F43" s="81">
        <f t="shared" si="3"/>
        <v>83770.884902377307</v>
      </c>
      <c r="G43" s="3"/>
    </row>
    <row r="44" spans="1:7" ht="15" customHeight="1" x14ac:dyDescent="0.25">
      <c r="A44" s="115">
        <v>36</v>
      </c>
      <c r="B44" s="116">
        <f t="shared" si="1"/>
        <v>47362</v>
      </c>
      <c r="C44" s="120">
        <f>'💳 Empréstimo'!$B$10</f>
        <v>206.87287679759979</v>
      </c>
      <c r="D44" s="121">
        <f t="shared" si="2"/>
        <v>971.74226486757675</v>
      </c>
      <c r="E44" s="81">
        <f t="shared" si="0"/>
        <v>764.86938806997694</v>
      </c>
      <c r="F44" s="81">
        <f t="shared" si="3"/>
        <v>86242.627167244878</v>
      </c>
      <c r="G44" s="3"/>
    </row>
    <row r="45" spans="1:7" ht="15" customHeight="1" x14ac:dyDescent="0.25">
      <c r="A45" s="169" t="s">
        <v>351</v>
      </c>
      <c r="B45" s="147"/>
      <c r="C45" s="117">
        <f t="shared" ref="C45:D45" si="4">SUM(C9:C44)</f>
        <v>7447.4235647135956</v>
      </c>
      <c r="D45" s="117">
        <f t="shared" si="4"/>
        <v>19242.627167244889</v>
      </c>
      <c r="E45" s="117">
        <f t="shared" si="0"/>
        <v>11795.203602531294</v>
      </c>
      <c r="F45" s="117">
        <f>F44</f>
        <v>86242.627167244878</v>
      </c>
      <c r="G45" s="3"/>
    </row>
    <row r="46" spans="1:7" ht="15.75" customHeight="1" x14ac:dyDescent="0.25">
      <c r="A46" s="3"/>
      <c r="B46" s="3"/>
      <c r="C46" s="3"/>
      <c r="D46" s="3"/>
      <c r="E46" s="3"/>
      <c r="F46" s="3"/>
      <c r="G46" s="3"/>
    </row>
    <row r="47" spans="1:7" ht="15" customHeight="1" x14ac:dyDescent="0.25">
      <c r="A47" s="170" t="s">
        <v>352</v>
      </c>
      <c r="B47" s="171"/>
      <c r="C47" s="171"/>
      <c r="D47" s="171"/>
      <c r="E47" s="122">
        <f t="array" ref="E47">MATCH(TRUE(),INDEX(D9:D44&gt;C9:C44,0),0)</f>
        <v>4</v>
      </c>
      <c r="F47" s="3"/>
      <c r="G47" s="3"/>
    </row>
    <row r="48" spans="1:7" ht="15" customHeight="1" x14ac:dyDescent="0.25">
      <c r="A48" s="172" t="s">
        <v>353</v>
      </c>
      <c r="B48" s="171"/>
      <c r="C48" s="171"/>
      <c r="D48" s="171"/>
      <c r="E48" s="171"/>
      <c r="F48" s="171"/>
      <c r="G48" s="171"/>
    </row>
    <row r="49" spans="1:7" ht="15.75" customHeight="1" x14ac:dyDescent="0.25">
      <c r="A49" s="3"/>
      <c r="B49" s="3"/>
      <c r="C49" s="3"/>
      <c r="D49" s="3"/>
      <c r="E49" s="3"/>
      <c r="F49" s="3"/>
      <c r="G49" s="3"/>
    </row>
    <row r="50" spans="1:7" ht="15.75" customHeight="1" x14ac:dyDescent="0.25">
      <c r="A50" s="3"/>
      <c r="B50" s="3"/>
      <c r="C50" s="3"/>
      <c r="D50" s="3"/>
      <c r="E50" s="3"/>
      <c r="F50" s="3"/>
      <c r="G50" s="3"/>
    </row>
    <row r="51" spans="1:7" ht="15.75" customHeight="1" x14ac:dyDescent="0.25">
      <c r="A51" s="3"/>
      <c r="B51" s="3"/>
      <c r="C51" s="3"/>
      <c r="D51" s="3"/>
      <c r="E51" s="3"/>
      <c r="F51" s="3"/>
      <c r="G51" s="3"/>
    </row>
    <row r="52" spans="1:7" ht="15.75" customHeight="1" x14ac:dyDescent="0.25">
      <c r="A52" s="3"/>
      <c r="B52" s="3"/>
      <c r="C52" s="3"/>
      <c r="D52" s="3"/>
      <c r="E52" s="3"/>
      <c r="F52" s="3"/>
      <c r="G52" s="3"/>
    </row>
    <row r="53" spans="1:7" ht="15.75" customHeight="1" x14ac:dyDescent="0.25">
      <c r="A53" s="3"/>
      <c r="B53" s="3"/>
      <c r="C53" s="3"/>
      <c r="D53" s="3"/>
      <c r="E53" s="3"/>
      <c r="F53" s="3"/>
      <c r="G53" s="3"/>
    </row>
    <row r="54" spans="1:7" ht="15.75" customHeight="1" x14ac:dyDescent="0.25">
      <c r="A54" s="3"/>
      <c r="B54" s="3"/>
      <c r="C54" s="3"/>
      <c r="D54" s="3"/>
      <c r="E54" s="3"/>
      <c r="F54" s="3"/>
      <c r="G54" s="3"/>
    </row>
    <row r="55" spans="1:7" ht="15.75" customHeight="1" x14ac:dyDescent="0.25">
      <c r="A55" s="3"/>
      <c r="B55" s="3"/>
      <c r="C55" s="3"/>
      <c r="D55" s="3"/>
      <c r="E55" s="3"/>
      <c r="F55" s="3"/>
      <c r="G55" s="3"/>
    </row>
    <row r="56" spans="1:7" ht="15.75" customHeight="1" x14ac:dyDescent="0.25">
      <c r="A56" s="3"/>
      <c r="B56" s="3"/>
      <c r="C56" s="3"/>
      <c r="D56" s="3"/>
      <c r="E56" s="3"/>
      <c r="F56" s="3"/>
      <c r="G56" s="3"/>
    </row>
    <row r="57" spans="1:7" ht="15.75" customHeight="1" x14ac:dyDescent="0.25">
      <c r="A57" s="3"/>
      <c r="B57" s="3"/>
      <c r="C57" s="3"/>
      <c r="D57" s="3"/>
      <c r="E57" s="3"/>
      <c r="F57" s="3"/>
      <c r="G57" s="3"/>
    </row>
    <row r="58" spans="1:7" ht="15.75" customHeight="1" x14ac:dyDescent="0.25">
      <c r="A58" s="3"/>
      <c r="B58" s="3"/>
      <c r="C58" s="3"/>
      <c r="D58" s="3"/>
      <c r="E58" s="3"/>
      <c r="F58" s="3"/>
      <c r="G58" s="3"/>
    </row>
    <row r="59" spans="1:7" ht="15.75" customHeight="1" x14ac:dyDescent="0.25">
      <c r="A59" s="3"/>
      <c r="B59" s="3"/>
      <c r="C59" s="3"/>
      <c r="D59" s="3"/>
      <c r="E59" s="3"/>
      <c r="F59" s="3"/>
      <c r="G59" s="3"/>
    </row>
    <row r="60" spans="1:7" ht="15.75" customHeight="1" x14ac:dyDescent="0.25">
      <c r="A60" s="3"/>
      <c r="B60" s="3"/>
      <c r="C60" s="3"/>
      <c r="D60" s="3"/>
      <c r="E60" s="3"/>
      <c r="F60" s="3"/>
      <c r="G60" s="3"/>
    </row>
    <row r="61" spans="1:7" ht="15.75" customHeight="1" x14ac:dyDescent="0.25">
      <c r="A61" s="3"/>
      <c r="B61" s="3"/>
      <c r="C61" s="3"/>
      <c r="D61" s="3"/>
      <c r="E61" s="3"/>
      <c r="F61" s="3"/>
      <c r="G61" s="3"/>
    </row>
    <row r="62" spans="1:7" ht="15.75" customHeight="1" x14ac:dyDescent="0.25">
      <c r="A62" s="3"/>
      <c r="B62" s="3"/>
      <c r="C62" s="3"/>
      <c r="D62" s="3"/>
      <c r="E62" s="3"/>
      <c r="F62" s="3"/>
      <c r="G62" s="3"/>
    </row>
    <row r="63" spans="1:7" ht="15.75" customHeight="1" x14ac:dyDescent="0.25">
      <c r="A63" s="3"/>
      <c r="B63" s="3"/>
      <c r="C63" s="3"/>
      <c r="D63" s="3"/>
      <c r="E63" s="3"/>
      <c r="F63" s="3"/>
      <c r="G63" s="3"/>
    </row>
    <row r="64" spans="1:7" ht="15.75" customHeight="1" x14ac:dyDescent="0.25">
      <c r="A64" s="3"/>
      <c r="B64" s="3"/>
      <c r="C64" s="3"/>
      <c r="D64" s="3"/>
      <c r="E64" s="3"/>
      <c r="F64" s="3"/>
      <c r="G64" s="3"/>
    </row>
    <row r="65" spans="1:7" ht="15.75" customHeight="1" x14ac:dyDescent="0.25">
      <c r="A65" s="3"/>
      <c r="B65" s="3"/>
      <c r="C65" s="3"/>
      <c r="D65" s="3"/>
      <c r="E65" s="3"/>
      <c r="F65" s="3"/>
      <c r="G65" s="3"/>
    </row>
    <row r="66" spans="1:7" ht="15.75" customHeight="1" x14ac:dyDescent="0.25">
      <c r="A66" s="3"/>
      <c r="B66" s="3"/>
      <c r="C66" s="3"/>
      <c r="D66" s="3"/>
      <c r="E66" s="3"/>
      <c r="F66" s="3"/>
      <c r="G66" s="3"/>
    </row>
    <row r="67" spans="1:7" ht="15.75" customHeight="1" x14ac:dyDescent="0.25">
      <c r="A67" s="3"/>
      <c r="B67" s="3"/>
      <c r="C67" s="3"/>
      <c r="D67" s="3"/>
      <c r="E67" s="3"/>
      <c r="F67" s="3"/>
      <c r="G67" s="3"/>
    </row>
    <row r="68" spans="1:7" ht="15.75" customHeight="1" x14ac:dyDescent="0.25">
      <c r="A68" s="3"/>
      <c r="B68" s="3"/>
      <c r="C68" s="3"/>
      <c r="D68" s="3"/>
      <c r="E68" s="3"/>
      <c r="F68" s="3"/>
      <c r="G68" s="3"/>
    </row>
    <row r="69" spans="1:7" ht="15.75" customHeight="1" x14ac:dyDescent="0.25">
      <c r="A69" s="3"/>
      <c r="B69" s="3"/>
      <c r="C69" s="3"/>
      <c r="D69" s="3"/>
      <c r="E69" s="3"/>
      <c r="F69" s="3"/>
      <c r="G69" s="3"/>
    </row>
    <row r="70" spans="1:7" ht="15.75" customHeight="1" x14ac:dyDescent="0.25">
      <c r="A70" s="3"/>
      <c r="B70" s="3"/>
      <c r="C70" s="3"/>
      <c r="D70" s="3"/>
      <c r="E70" s="3"/>
      <c r="F70" s="3"/>
      <c r="G70" s="3"/>
    </row>
    <row r="71" spans="1:7" ht="15.75" customHeight="1" x14ac:dyDescent="0.25">
      <c r="A71" s="3"/>
      <c r="B71" s="3"/>
      <c r="C71" s="3"/>
      <c r="D71" s="3"/>
      <c r="E71" s="3"/>
      <c r="F71" s="3"/>
      <c r="G71" s="3"/>
    </row>
    <row r="72" spans="1:7" ht="15.75" customHeight="1" x14ac:dyDescent="0.25">
      <c r="A72" s="3"/>
      <c r="B72" s="3"/>
      <c r="C72" s="3"/>
      <c r="D72" s="3"/>
      <c r="E72" s="3"/>
      <c r="F72" s="3"/>
      <c r="G72" s="3"/>
    </row>
    <row r="73" spans="1:7" ht="15.75" customHeight="1" x14ac:dyDescent="0.25">
      <c r="A73" s="3"/>
      <c r="B73" s="3"/>
      <c r="C73" s="3"/>
      <c r="D73" s="3"/>
      <c r="E73" s="3"/>
      <c r="F73" s="3"/>
      <c r="G73" s="3"/>
    </row>
    <row r="74" spans="1:7" ht="15.75" customHeight="1" x14ac:dyDescent="0.25">
      <c r="A74" s="3"/>
      <c r="B74" s="3"/>
      <c r="C74" s="3"/>
      <c r="D74" s="3"/>
      <c r="E74" s="3"/>
      <c r="F74" s="3"/>
      <c r="G74" s="3"/>
    </row>
    <row r="75" spans="1:7" ht="15.75" customHeight="1" x14ac:dyDescent="0.25">
      <c r="A75" s="3"/>
      <c r="B75" s="3"/>
      <c r="C75" s="3"/>
      <c r="D75" s="3"/>
      <c r="E75" s="3"/>
      <c r="F75" s="3"/>
      <c r="G75" s="3"/>
    </row>
    <row r="76" spans="1:7" ht="15.75" customHeight="1" x14ac:dyDescent="0.25">
      <c r="A76" s="3"/>
      <c r="B76" s="3"/>
      <c r="C76" s="3"/>
      <c r="D76" s="3"/>
      <c r="E76" s="3"/>
      <c r="F76" s="3"/>
      <c r="G76" s="3"/>
    </row>
    <row r="77" spans="1:7" ht="15.75" customHeight="1" x14ac:dyDescent="0.25">
      <c r="A77" s="3"/>
      <c r="B77" s="3"/>
      <c r="C77" s="3"/>
      <c r="D77" s="3"/>
      <c r="E77" s="3"/>
      <c r="F77" s="3"/>
      <c r="G77" s="3"/>
    </row>
    <row r="78" spans="1:7" ht="15.75" customHeight="1" x14ac:dyDescent="0.25">
      <c r="A78" s="3"/>
      <c r="B78" s="3"/>
      <c r="C78" s="3"/>
      <c r="D78" s="3"/>
      <c r="E78" s="3"/>
      <c r="F78" s="3"/>
      <c r="G78" s="3"/>
    </row>
    <row r="79" spans="1:7" ht="15.75" customHeight="1" x14ac:dyDescent="0.25">
      <c r="A79" s="3"/>
      <c r="B79" s="3"/>
      <c r="C79" s="3"/>
      <c r="D79" s="3"/>
      <c r="E79" s="3"/>
      <c r="F79" s="3"/>
      <c r="G79" s="3"/>
    </row>
    <row r="80" spans="1:7" ht="15.75" customHeight="1" x14ac:dyDescent="0.25">
      <c r="A80" s="3"/>
      <c r="B80" s="3"/>
      <c r="C80" s="3"/>
      <c r="D80" s="3"/>
      <c r="E80" s="3"/>
      <c r="F80" s="3"/>
      <c r="G80" s="3"/>
    </row>
    <row r="81" spans="1:7" ht="15.75" customHeight="1" x14ac:dyDescent="0.25">
      <c r="A81" s="3"/>
      <c r="B81" s="3"/>
      <c r="C81" s="3"/>
      <c r="D81" s="3"/>
      <c r="E81" s="3"/>
      <c r="F81" s="3"/>
      <c r="G81" s="3"/>
    </row>
    <row r="82" spans="1:7" ht="15.75" customHeight="1" x14ac:dyDescent="0.25">
      <c r="A82" s="3"/>
      <c r="B82" s="3"/>
      <c r="C82" s="3"/>
      <c r="D82" s="3"/>
      <c r="E82" s="3"/>
      <c r="F82" s="3"/>
      <c r="G82" s="3"/>
    </row>
    <row r="83" spans="1:7" ht="15.75" customHeight="1" x14ac:dyDescent="0.25">
      <c r="A83" s="3"/>
      <c r="B83" s="3"/>
      <c r="C83" s="3"/>
      <c r="D83" s="3"/>
      <c r="E83" s="3"/>
      <c r="F83" s="3"/>
      <c r="G83" s="3"/>
    </row>
    <row r="84" spans="1:7" ht="15.75" customHeight="1" x14ac:dyDescent="0.25">
      <c r="A84" s="3"/>
      <c r="B84" s="3"/>
      <c r="C84" s="3"/>
      <c r="D84" s="3"/>
      <c r="E84" s="3"/>
      <c r="F84" s="3"/>
      <c r="G84" s="3"/>
    </row>
    <row r="85" spans="1:7" ht="15.75" customHeight="1" x14ac:dyDescent="0.25">
      <c r="A85" s="3"/>
      <c r="B85" s="3"/>
      <c r="C85" s="3"/>
      <c r="D85" s="3"/>
      <c r="E85" s="3"/>
      <c r="F85" s="3"/>
      <c r="G85" s="3"/>
    </row>
    <row r="86" spans="1:7" ht="15.75" customHeight="1" x14ac:dyDescent="0.25">
      <c r="A86" s="3"/>
      <c r="B86" s="3"/>
      <c r="C86" s="3"/>
      <c r="D86" s="3"/>
      <c r="E86" s="3"/>
      <c r="F86" s="3"/>
      <c r="G86" s="3"/>
    </row>
    <row r="87" spans="1:7" ht="15.75" customHeight="1" x14ac:dyDescent="0.25">
      <c r="A87" s="3"/>
      <c r="B87" s="3"/>
      <c r="C87" s="3"/>
      <c r="D87" s="3"/>
      <c r="E87" s="3"/>
      <c r="F87" s="3"/>
      <c r="G87" s="3"/>
    </row>
    <row r="88" spans="1:7" ht="15.75" customHeight="1" x14ac:dyDescent="0.25">
      <c r="A88" s="3"/>
      <c r="B88" s="3"/>
      <c r="C88" s="3"/>
      <c r="D88" s="3"/>
      <c r="E88" s="3"/>
      <c r="F88" s="3"/>
      <c r="G88" s="3"/>
    </row>
    <row r="89" spans="1:7" ht="15.75" customHeight="1" x14ac:dyDescent="0.25">
      <c r="A89" s="3"/>
      <c r="B89" s="3"/>
      <c r="C89" s="3"/>
      <c r="D89" s="3"/>
      <c r="E89" s="3"/>
      <c r="F89" s="3"/>
      <c r="G89" s="3"/>
    </row>
    <row r="90" spans="1:7" ht="15.75" customHeight="1" x14ac:dyDescent="0.25">
      <c r="A90" s="3"/>
      <c r="B90" s="3"/>
      <c r="C90" s="3"/>
      <c r="D90" s="3"/>
      <c r="E90" s="3"/>
      <c r="F90" s="3"/>
      <c r="G90" s="3"/>
    </row>
    <row r="91" spans="1:7" ht="15.75" customHeight="1" x14ac:dyDescent="0.25">
      <c r="A91" s="3"/>
      <c r="B91" s="3"/>
      <c r="C91" s="3"/>
      <c r="D91" s="3"/>
      <c r="E91" s="3"/>
      <c r="F91" s="3"/>
      <c r="G91" s="3"/>
    </row>
    <row r="92" spans="1:7" ht="15.75" customHeight="1" x14ac:dyDescent="0.25">
      <c r="A92" s="3"/>
      <c r="B92" s="3"/>
      <c r="C92" s="3"/>
      <c r="D92" s="3"/>
      <c r="E92" s="3"/>
      <c r="F92" s="3"/>
      <c r="G92" s="3"/>
    </row>
    <row r="93" spans="1:7" ht="15.75" customHeight="1" x14ac:dyDescent="0.25">
      <c r="A93" s="3"/>
      <c r="B93" s="3"/>
      <c r="C93" s="3"/>
      <c r="D93" s="3"/>
      <c r="E93" s="3"/>
      <c r="F93" s="3"/>
      <c r="G93" s="3"/>
    </row>
    <row r="94" spans="1:7" ht="15.75" customHeight="1" x14ac:dyDescent="0.25">
      <c r="A94" s="3"/>
      <c r="B94" s="3"/>
      <c r="C94" s="3"/>
      <c r="D94" s="3"/>
      <c r="E94" s="3"/>
      <c r="F94" s="3"/>
      <c r="G94" s="3"/>
    </row>
    <row r="95" spans="1:7" ht="15.75" customHeight="1" x14ac:dyDescent="0.25">
      <c r="A95" s="3"/>
      <c r="B95" s="3"/>
      <c r="C95" s="3"/>
      <c r="D95" s="3"/>
      <c r="E95" s="3"/>
      <c r="F95" s="3"/>
      <c r="G95" s="3"/>
    </row>
    <row r="96" spans="1:7" ht="15.75" customHeight="1" x14ac:dyDescent="0.25">
      <c r="A96" s="3"/>
      <c r="B96" s="3"/>
      <c r="C96" s="3"/>
      <c r="D96" s="3"/>
      <c r="E96" s="3"/>
      <c r="F96" s="3"/>
      <c r="G96" s="3"/>
    </row>
    <row r="97" spans="1:7" ht="15.75" customHeight="1" x14ac:dyDescent="0.25">
      <c r="A97" s="3"/>
      <c r="B97" s="3"/>
      <c r="C97" s="3"/>
      <c r="D97" s="3"/>
      <c r="E97" s="3"/>
      <c r="F97" s="3"/>
      <c r="G97" s="3"/>
    </row>
    <row r="98" spans="1:7" ht="15.75" customHeight="1" x14ac:dyDescent="0.25">
      <c r="A98" s="3"/>
      <c r="B98" s="3"/>
      <c r="C98" s="3"/>
      <c r="D98" s="3"/>
      <c r="E98" s="3"/>
      <c r="F98" s="3"/>
      <c r="G98" s="3"/>
    </row>
    <row r="99" spans="1:7" ht="15.75" customHeight="1" x14ac:dyDescent="0.25">
      <c r="A99" s="3"/>
      <c r="B99" s="3"/>
      <c r="C99" s="3"/>
      <c r="D99" s="3"/>
      <c r="E99" s="3"/>
      <c r="F99" s="3"/>
      <c r="G99" s="3"/>
    </row>
    <row r="100" spans="1:7" ht="15.75" customHeight="1" x14ac:dyDescent="0.25">
      <c r="A100" s="3"/>
      <c r="B100" s="3"/>
      <c r="C100" s="3"/>
      <c r="D100" s="3"/>
      <c r="E100" s="3"/>
      <c r="F100" s="3"/>
      <c r="G100" s="3"/>
    </row>
  </sheetData>
  <mergeCells count="6">
    <mergeCell ref="A48:G48"/>
    <mergeCell ref="A1:G1"/>
    <mergeCell ref="A2:G2"/>
    <mergeCell ref="A7:G7"/>
    <mergeCell ref="A45:B45"/>
    <mergeCell ref="A47:D47"/>
  </mergeCells>
  <pageMargins left="0.75" right="0.75" top="1" bottom="1" header="0" footer="0"/>
  <pageSetup paperSize="9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F39C12"/>
  </sheetPr>
  <dimension ref="A1:F100"/>
  <sheetViews>
    <sheetView workbookViewId="0">
      <selection sqref="A1:F1"/>
    </sheetView>
  </sheetViews>
  <sheetFormatPr defaultColWidth="14.42578125" defaultRowHeight="15" customHeight="1" x14ac:dyDescent="0.25"/>
  <cols>
    <col min="1" max="1" width="20" customWidth="1"/>
    <col min="2" max="2" width="14" customWidth="1"/>
    <col min="3" max="3" width="13" customWidth="1"/>
    <col min="4" max="5" width="14" customWidth="1"/>
    <col min="6" max="6" width="42" customWidth="1"/>
  </cols>
  <sheetData>
    <row r="1" spans="1:6" ht="27.75" customHeight="1" x14ac:dyDescent="0.25">
      <c r="A1" s="174" t="s">
        <v>354</v>
      </c>
      <c r="B1" s="146"/>
      <c r="C1" s="146"/>
      <c r="D1" s="146"/>
      <c r="E1" s="146"/>
      <c r="F1" s="147"/>
    </row>
    <row r="2" spans="1:6" ht="15" customHeight="1" x14ac:dyDescent="0.25">
      <c r="A2" s="123" t="s">
        <v>355</v>
      </c>
      <c r="B2" s="123" t="s">
        <v>356</v>
      </c>
      <c r="C2" s="123" t="s">
        <v>357</v>
      </c>
      <c r="D2" s="123" t="s">
        <v>358</v>
      </c>
      <c r="E2" s="123" t="s">
        <v>27</v>
      </c>
      <c r="F2" s="123" t="s">
        <v>359</v>
      </c>
    </row>
    <row r="3" spans="1:6" ht="15" customHeight="1" x14ac:dyDescent="0.25">
      <c r="A3" s="41" t="s">
        <v>53</v>
      </c>
      <c r="B3" s="42">
        <v>120</v>
      </c>
      <c r="C3" s="107">
        <v>70</v>
      </c>
      <c r="D3" s="107">
        <f t="shared" ref="D3:D9" si="0">B3-C3</f>
        <v>50</v>
      </c>
      <c r="E3" s="40" t="s">
        <v>360</v>
      </c>
      <c r="F3" s="41" t="s">
        <v>361</v>
      </c>
    </row>
    <row r="4" spans="1:6" ht="15" customHeight="1" x14ac:dyDescent="0.25">
      <c r="A4" s="38" t="s">
        <v>54</v>
      </c>
      <c r="B4" s="39">
        <v>288</v>
      </c>
      <c r="C4" s="103">
        <v>180</v>
      </c>
      <c r="D4" s="103">
        <f t="shared" si="0"/>
        <v>108</v>
      </c>
      <c r="E4" s="37" t="s">
        <v>362</v>
      </c>
      <c r="F4" s="38" t="s">
        <v>363</v>
      </c>
    </row>
    <row r="5" spans="1:6" ht="15" customHeight="1" x14ac:dyDescent="0.25">
      <c r="A5" s="41" t="s">
        <v>49</v>
      </c>
      <c r="B5" s="42">
        <v>216</v>
      </c>
      <c r="C5" s="107">
        <v>160</v>
      </c>
      <c r="D5" s="107">
        <f t="shared" si="0"/>
        <v>56</v>
      </c>
      <c r="E5" s="37" t="s">
        <v>362</v>
      </c>
      <c r="F5" s="41" t="s">
        <v>364</v>
      </c>
    </row>
    <row r="6" spans="1:6" ht="15" customHeight="1" x14ac:dyDescent="0.25">
      <c r="A6" s="38" t="s">
        <v>55</v>
      </c>
      <c r="B6" s="39">
        <v>135</v>
      </c>
      <c r="C6" s="103">
        <v>100</v>
      </c>
      <c r="D6" s="103">
        <f t="shared" si="0"/>
        <v>35</v>
      </c>
      <c r="E6" s="37" t="s">
        <v>360</v>
      </c>
      <c r="F6" s="38" t="s">
        <v>365</v>
      </c>
    </row>
    <row r="7" spans="1:6" ht="15" customHeight="1" x14ac:dyDescent="0.25">
      <c r="A7" s="41" t="s">
        <v>52</v>
      </c>
      <c r="B7" s="42">
        <v>250</v>
      </c>
      <c r="C7" s="107">
        <v>200</v>
      </c>
      <c r="D7" s="107">
        <f t="shared" si="0"/>
        <v>50</v>
      </c>
      <c r="E7" s="40" t="s">
        <v>360</v>
      </c>
      <c r="F7" s="41" t="s">
        <v>366</v>
      </c>
    </row>
    <row r="8" spans="1:6" ht="15" customHeight="1" x14ac:dyDescent="0.25">
      <c r="A8" s="38" t="s">
        <v>51</v>
      </c>
      <c r="B8" s="39">
        <v>230</v>
      </c>
      <c r="C8" s="103">
        <v>230</v>
      </c>
      <c r="D8" s="103">
        <f t="shared" si="0"/>
        <v>0</v>
      </c>
      <c r="E8" s="37" t="s">
        <v>362</v>
      </c>
      <c r="F8" s="38" t="s">
        <v>367</v>
      </c>
    </row>
    <row r="9" spans="1:6" ht="15" customHeight="1" x14ac:dyDescent="0.25">
      <c r="A9" s="41" t="s">
        <v>46</v>
      </c>
      <c r="B9" s="42">
        <v>86</v>
      </c>
      <c r="C9" s="107">
        <v>86</v>
      </c>
      <c r="D9" s="107">
        <f t="shared" si="0"/>
        <v>0</v>
      </c>
      <c r="E9" s="40" t="s">
        <v>368</v>
      </c>
      <c r="F9" s="41" t="s">
        <v>369</v>
      </c>
    </row>
    <row r="10" spans="1:6" ht="15" customHeight="1" x14ac:dyDescent="0.25">
      <c r="A10" s="32" t="s">
        <v>337</v>
      </c>
      <c r="B10" s="34">
        <f t="shared" ref="B10:D10" si="1">SUM(B3:B9)</f>
        <v>1325</v>
      </c>
      <c r="C10" s="34">
        <f t="shared" si="1"/>
        <v>1026</v>
      </c>
      <c r="D10" s="34">
        <f t="shared" si="1"/>
        <v>299</v>
      </c>
      <c r="E10" s="32"/>
      <c r="F10" s="32"/>
    </row>
    <row r="11" spans="1:6" ht="14.25" customHeight="1" x14ac:dyDescent="0.25">
      <c r="A11" s="17"/>
      <c r="B11" s="17"/>
      <c r="C11" s="17"/>
      <c r="D11" s="17"/>
      <c r="E11" s="17"/>
      <c r="F11" s="17"/>
    </row>
    <row r="12" spans="1:6" ht="14.25" customHeight="1" x14ac:dyDescent="0.25">
      <c r="A12" s="17"/>
      <c r="B12" s="17"/>
      <c r="C12" s="17"/>
      <c r="D12" s="17"/>
      <c r="E12" s="17"/>
      <c r="F12" s="17"/>
    </row>
    <row r="13" spans="1:6" ht="14.25" customHeight="1" x14ac:dyDescent="0.25">
      <c r="A13" s="17"/>
      <c r="B13" s="17"/>
      <c r="C13" s="17"/>
      <c r="D13" s="17"/>
      <c r="E13" s="17"/>
      <c r="F13" s="17"/>
    </row>
    <row r="14" spans="1:6" ht="14.25" customHeight="1" x14ac:dyDescent="0.25">
      <c r="A14" s="17"/>
      <c r="B14" s="17"/>
      <c r="C14" s="17"/>
      <c r="D14" s="17"/>
      <c r="E14" s="17"/>
      <c r="F14" s="17"/>
    </row>
    <row r="15" spans="1:6" ht="14.25" customHeight="1" x14ac:dyDescent="0.25">
      <c r="A15" s="17"/>
      <c r="B15" s="17"/>
      <c r="C15" s="17"/>
      <c r="D15" s="17"/>
      <c r="E15" s="17"/>
      <c r="F15" s="17"/>
    </row>
    <row r="16" spans="1:6" ht="14.25" customHeight="1" x14ac:dyDescent="0.25">
      <c r="A16" s="17"/>
      <c r="B16" s="17"/>
      <c r="C16" s="17"/>
      <c r="D16" s="17"/>
      <c r="E16" s="17"/>
      <c r="F16" s="17"/>
    </row>
    <row r="17" spans="1:6" ht="14.25" customHeight="1" x14ac:dyDescent="0.25">
      <c r="A17" s="17"/>
      <c r="B17" s="17"/>
      <c r="C17" s="17"/>
      <c r="D17" s="17"/>
      <c r="E17" s="17"/>
      <c r="F17" s="17"/>
    </row>
    <row r="18" spans="1:6" ht="14.25" customHeight="1" x14ac:dyDescent="0.25">
      <c r="A18" s="17"/>
      <c r="B18" s="17"/>
      <c r="C18" s="17"/>
      <c r="D18" s="17"/>
      <c r="E18" s="17"/>
      <c r="F18" s="17"/>
    </row>
    <row r="19" spans="1:6" ht="14.25" customHeight="1" x14ac:dyDescent="0.25">
      <c r="A19" s="17"/>
      <c r="B19" s="17"/>
      <c r="C19" s="17"/>
      <c r="D19" s="17"/>
      <c r="E19" s="17"/>
      <c r="F19" s="17"/>
    </row>
    <row r="20" spans="1:6" ht="14.25" customHeight="1" x14ac:dyDescent="0.25">
      <c r="A20" s="17"/>
      <c r="B20" s="17"/>
      <c r="C20" s="17"/>
      <c r="D20" s="17"/>
      <c r="E20" s="17"/>
      <c r="F20" s="17"/>
    </row>
    <row r="21" spans="1:6" ht="15.75" customHeight="1" x14ac:dyDescent="0.25">
      <c r="A21" s="17"/>
      <c r="B21" s="17"/>
      <c r="C21" s="17"/>
      <c r="D21" s="17"/>
      <c r="E21" s="17"/>
      <c r="F21" s="17"/>
    </row>
    <row r="22" spans="1:6" ht="15.75" customHeight="1" x14ac:dyDescent="0.25">
      <c r="A22" s="17"/>
      <c r="B22" s="17"/>
      <c r="C22" s="17"/>
      <c r="D22" s="17"/>
      <c r="E22" s="17"/>
      <c r="F22" s="17"/>
    </row>
    <row r="23" spans="1:6" ht="15.75" customHeight="1" x14ac:dyDescent="0.25">
      <c r="A23" s="17"/>
      <c r="B23" s="17"/>
      <c r="C23" s="17"/>
      <c r="D23" s="17"/>
      <c r="E23" s="17"/>
      <c r="F23" s="17"/>
    </row>
    <row r="24" spans="1:6" ht="15.75" customHeight="1" x14ac:dyDescent="0.25">
      <c r="A24" s="17"/>
      <c r="B24" s="17"/>
      <c r="C24" s="17"/>
      <c r="D24" s="17"/>
      <c r="E24" s="17"/>
      <c r="F24" s="17"/>
    </row>
    <row r="25" spans="1:6" ht="15.75" customHeight="1" x14ac:dyDescent="0.25">
      <c r="A25" s="17"/>
      <c r="B25" s="17"/>
      <c r="C25" s="17"/>
      <c r="D25" s="17"/>
      <c r="E25" s="17"/>
      <c r="F25" s="17"/>
    </row>
    <row r="26" spans="1:6" ht="15.75" customHeight="1" x14ac:dyDescent="0.25">
      <c r="A26" s="17"/>
      <c r="B26" s="17"/>
      <c r="C26" s="17"/>
      <c r="D26" s="17"/>
      <c r="E26" s="17"/>
      <c r="F26" s="17"/>
    </row>
    <row r="27" spans="1:6" ht="15.75" customHeight="1" x14ac:dyDescent="0.25">
      <c r="A27" s="17"/>
      <c r="B27" s="17"/>
      <c r="C27" s="17"/>
      <c r="D27" s="17"/>
      <c r="E27" s="17"/>
      <c r="F27" s="17"/>
    </row>
    <row r="28" spans="1:6" ht="15.75" customHeight="1" x14ac:dyDescent="0.25">
      <c r="A28" s="17"/>
      <c r="B28" s="17"/>
      <c r="C28" s="17"/>
      <c r="D28" s="17"/>
      <c r="E28" s="17"/>
      <c r="F28" s="17"/>
    </row>
    <row r="29" spans="1:6" ht="15.75" customHeight="1" x14ac:dyDescent="0.25">
      <c r="A29" s="17"/>
      <c r="B29" s="17"/>
      <c r="C29" s="17"/>
      <c r="D29" s="17"/>
      <c r="E29" s="17"/>
      <c r="F29" s="17"/>
    </row>
    <row r="30" spans="1:6" ht="15.75" customHeight="1" x14ac:dyDescent="0.25">
      <c r="A30" s="17"/>
      <c r="B30" s="17"/>
      <c r="C30" s="17"/>
      <c r="D30" s="17"/>
      <c r="E30" s="17"/>
      <c r="F30" s="17"/>
    </row>
    <row r="31" spans="1:6" ht="15.75" customHeight="1" x14ac:dyDescent="0.25">
      <c r="A31" s="17"/>
      <c r="B31" s="17"/>
      <c r="C31" s="17"/>
      <c r="D31" s="17"/>
      <c r="E31" s="17"/>
      <c r="F31" s="17"/>
    </row>
    <row r="32" spans="1:6" ht="15.75" customHeight="1" x14ac:dyDescent="0.25">
      <c r="A32" s="17"/>
      <c r="B32" s="17"/>
      <c r="C32" s="17"/>
      <c r="D32" s="17"/>
      <c r="E32" s="17"/>
      <c r="F32" s="17"/>
    </row>
    <row r="33" spans="1:6" ht="15.75" customHeight="1" x14ac:dyDescent="0.25">
      <c r="A33" s="17"/>
      <c r="B33" s="17"/>
      <c r="C33" s="17"/>
      <c r="D33" s="17"/>
      <c r="E33" s="17"/>
      <c r="F33" s="17"/>
    </row>
    <row r="34" spans="1:6" ht="15.75" customHeight="1" x14ac:dyDescent="0.25">
      <c r="A34" s="17"/>
      <c r="B34" s="17"/>
      <c r="C34" s="17"/>
      <c r="D34" s="17"/>
      <c r="E34" s="17"/>
      <c r="F34" s="17"/>
    </row>
    <row r="35" spans="1:6" ht="15.75" customHeight="1" x14ac:dyDescent="0.25">
      <c r="A35" s="17"/>
      <c r="B35" s="17"/>
      <c r="C35" s="17"/>
      <c r="D35" s="17"/>
      <c r="E35" s="17"/>
      <c r="F35" s="17"/>
    </row>
    <row r="36" spans="1:6" ht="15.75" customHeight="1" x14ac:dyDescent="0.25">
      <c r="A36" s="17"/>
      <c r="B36" s="17"/>
      <c r="C36" s="17"/>
      <c r="D36" s="17"/>
      <c r="E36" s="17"/>
      <c r="F36" s="17"/>
    </row>
    <row r="37" spans="1:6" ht="15.75" customHeight="1" x14ac:dyDescent="0.25">
      <c r="A37" s="17"/>
      <c r="B37" s="17"/>
      <c r="C37" s="17"/>
      <c r="D37" s="17"/>
      <c r="E37" s="17"/>
      <c r="F37" s="17"/>
    </row>
    <row r="38" spans="1:6" ht="15.75" customHeight="1" x14ac:dyDescent="0.25">
      <c r="A38" s="17"/>
      <c r="B38" s="17"/>
      <c r="C38" s="17"/>
      <c r="D38" s="17"/>
      <c r="E38" s="17"/>
      <c r="F38" s="17"/>
    </row>
    <row r="39" spans="1:6" ht="15.75" customHeight="1" x14ac:dyDescent="0.25">
      <c r="A39" s="17"/>
      <c r="B39" s="17"/>
      <c r="C39" s="17"/>
      <c r="D39" s="17"/>
      <c r="E39" s="17"/>
      <c r="F39" s="17"/>
    </row>
    <row r="40" spans="1:6" ht="15.75" customHeight="1" x14ac:dyDescent="0.25">
      <c r="A40" s="17"/>
      <c r="B40" s="17"/>
      <c r="C40" s="17"/>
      <c r="D40" s="17"/>
      <c r="E40" s="17"/>
      <c r="F40" s="17"/>
    </row>
    <row r="41" spans="1:6" ht="15.75" customHeight="1" x14ac:dyDescent="0.25">
      <c r="A41" s="17"/>
      <c r="B41" s="17"/>
      <c r="C41" s="17"/>
      <c r="D41" s="17"/>
      <c r="E41" s="17"/>
      <c r="F41" s="17"/>
    </row>
    <row r="42" spans="1:6" ht="15.75" customHeight="1" x14ac:dyDescent="0.25">
      <c r="A42" s="17"/>
      <c r="B42" s="17"/>
      <c r="C42" s="17"/>
      <c r="D42" s="17"/>
      <c r="E42" s="17"/>
      <c r="F42" s="17"/>
    </row>
    <row r="43" spans="1:6" ht="15.75" customHeight="1" x14ac:dyDescent="0.25">
      <c r="A43" s="17"/>
      <c r="B43" s="17"/>
      <c r="C43" s="17"/>
      <c r="D43" s="17"/>
      <c r="E43" s="17"/>
      <c r="F43" s="17"/>
    </row>
    <row r="44" spans="1:6" ht="15.75" customHeight="1" x14ac:dyDescent="0.25">
      <c r="A44" s="17"/>
      <c r="B44" s="17"/>
      <c r="C44" s="17"/>
      <c r="D44" s="17"/>
      <c r="E44" s="17"/>
      <c r="F44" s="17"/>
    </row>
    <row r="45" spans="1:6" ht="15.75" customHeight="1" x14ac:dyDescent="0.25">
      <c r="A45" s="17"/>
      <c r="B45" s="17"/>
      <c r="C45" s="17"/>
      <c r="D45" s="17"/>
      <c r="E45" s="17"/>
      <c r="F45" s="17"/>
    </row>
    <row r="46" spans="1:6" ht="15.75" customHeight="1" x14ac:dyDescent="0.25">
      <c r="A46" s="17"/>
      <c r="B46" s="17"/>
      <c r="C46" s="17"/>
      <c r="D46" s="17"/>
      <c r="E46" s="17"/>
      <c r="F46" s="17"/>
    </row>
    <row r="47" spans="1:6" ht="15.75" customHeight="1" x14ac:dyDescent="0.25">
      <c r="A47" s="17"/>
      <c r="B47" s="17"/>
      <c r="C47" s="17"/>
      <c r="D47" s="17"/>
      <c r="E47" s="17"/>
      <c r="F47" s="17"/>
    </row>
    <row r="48" spans="1:6" ht="15.75" customHeight="1" x14ac:dyDescent="0.25">
      <c r="A48" s="17"/>
      <c r="B48" s="17"/>
      <c r="C48" s="17"/>
      <c r="D48" s="17"/>
      <c r="E48" s="17"/>
      <c r="F48" s="17"/>
    </row>
    <row r="49" spans="1:6" ht="15.75" customHeight="1" x14ac:dyDescent="0.25">
      <c r="A49" s="17"/>
      <c r="B49" s="17"/>
      <c r="C49" s="17"/>
      <c r="D49" s="17"/>
      <c r="E49" s="17"/>
      <c r="F49" s="17"/>
    </row>
    <row r="50" spans="1:6" ht="15.75" customHeight="1" x14ac:dyDescent="0.25">
      <c r="A50" s="17"/>
      <c r="B50" s="17"/>
      <c r="C50" s="17"/>
      <c r="D50" s="17"/>
      <c r="E50" s="17"/>
      <c r="F50" s="17"/>
    </row>
    <row r="51" spans="1:6" ht="15.75" customHeight="1" x14ac:dyDescent="0.25">
      <c r="A51" s="17"/>
      <c r="B51" s="17"/>
      <c r="C51" s="17"/>
      <c r="D51" s="17"/>
      <c r="E51" s="17"/>
      <c r="F51" s="17"/>
    </row>
    <row r="52" spans="1:6" ht="15.75" customHeight="1" x14ac:dyDescent="0.25">
      <c r="A52" s="17"/>
      <c r="B52" s="17"/>
      <c r="C52" s="17"/>
      <c r="D52" s="17"/>
      <c r="E52" s="17"/>
      <c r="F52" s="17"/>
    </row>
    <row r="53" spans="1:6" ht="15.75" customHeight="1" x14ac:dyDescent="0.25">
      <c r="A53" s="17"/>
      <c r="B53" s="17"/>
      <c r="C53" s="17"/>
      <c r="D53" s="17"/>
      <c r="E53" s="17"/>
      <c r="F53" s="17"/>
    </row>
    <row r="54" spans="1:6" ht="15.75" customHeight="1" x14ac:dyDescent="0.25">
      <c r="A54" s="17"/>
      <c r="B54" s="17"/>
      <c r="C54" s="17"/>
      <c r="D54" s="17"/>
      <c r="E54" s="17"/>
      <c r="F54" s="17"/>
    </row>
    <row r="55" spans="1:6" ht="15.75" customHeight="1" x14ac:dyDescent="0.25">
      <c r="A55" s="17"/>
      <c r="B55" s="17"/>
      <c r="C55" s="17"/>
      <c r="D55" s="17"/>
      <c r="E55" s="17"/>
      <c r="F55" s="17"/>
    </row>
    <row r="56" spans="1:6" ht="15.75" customHeight="1" x14ac:dyDescent="0.25">
      <c r="A56" s="17"/>
      <c r="B56" s="17"/>
      <c r="C56" s="17"/>
      <c r="D56" s="17"/>
      <c r="E56" s="17"/>
      <c r="F56" s="17"/>
    </row>
    <row r="57" spans="1:6" ht="15.75" customHeight="1" x14ac:dyDescent="0.25">
      <c r="A57" s="17"/>
      <c r="B57" s="17"/>
      <c r="C57" s="17"/>
      <c r="D57" s="17"/>
      <c r="E57" s="17"/>
      <c r="F57" s="17"/>
    </row>
    <row r="58" spans="1:6" ht="15.75" customHeight="1" x14ac:dyDescent="0.25">
      <c r="A58" s="17"/>
      <c r="B58" s="17"/>
      <c r="C58" s="17"/>
      <c r="D58" s="17"/>
      <c r="E58" s="17"/>
      <c r="F58" s="17"/>
    </row>
    <row r="59" spans="1:6" ht="15.75" customHeight="1" x14ac:dyDescent="0.25">
      <c r="A59" s="17"/>
      <c r="B59" s="17"/>
      <c r="C59" s="17"/>
      <c r="D59" s="17"/>
      <c r="E59" s="17"/>
      <c r="F59" s="17"/>
    </row>
    <row r="60" spans="1:6" ht="15.75" customHeight="1" x14ac:dyDescent="0.25">
      <c r="A60" s="17"/>
      <c r="B60" s="17"/>
      <c r="C60" s="17"/>
      <c r="D60" s="17"/>
      <c r="E60" s="17"/>
      <c r="F60" s="17"/>
    </row>
    <row r="61" spans="1:6" ht="15.75" customHeight="1" x14ac:dyDescent="0.25">
      <c r="A61" s="17"/>
      <c r="B61" s="17"/>
      <c r="C61" s="17"/>
      <c r="D61" s="17"/>
      <c r="E61" s="17"/>
      <c r="F61" s="17"/>
    </row>
    <row r="62" spans="1:6" ht="15.75" customHeight="1" x14ac:dyDescent="0.25">
      <c r="A62" s="17"/>
      <c r="B62" s="17"/>
      <c r="C62" s="17"/>
      <c r="D62" s="17"/>
      <c r="E62" s="17"/>
      <c r="F62" s="17"/>
    </row>
    <row r="63" spans="1:6" ht="15.75" customHeight="1" x14ac:dyDescent="0.25">
      <c r="A63" s="17"/>
      <c r="B63" s="17"/>
      <c r="C63" s="17"/>
      <c r="D63" s="17"/>
      <c r="E63" s="17"/>
      <c r="F63" s="17"/>
    </row>
    <row r="64" spans="1:6" ht="15.75" customHeight="1" x14ac:dyDescent="0.25">
      <c r="A64" s="17"/>
      <c r="B64" s="17"/>
      <c r="C64" s="17"/>
      <c r="D64" s="17"/>
      <c r="E64" s="17"/>
      <c r="F64" s="17"/>
    </row>
    <row r="65" spans="1:6" ht="15.75" customHeight="1" x14ac:dyDescent="0.25">
      <c r="A65" s="17"/>
      <c r="B65" s="17"/>
      <c r="C65" s="17"/>
      <c r="D65" s="17"/>
      <c r="E65" s="17"/>
      <c r="F65" s="17"/>
    </row>
    <row r="66" spans="1:6" ht="15.75" customHeight="1" x14ac:dyDescent="0.25">
      <c r="A66" s="17"/>
      <c r="B66" s="17"/>
      <c r="C66" s="17"/>
      <c r="D66" s="17"/>
      <c r="E66" s="17"/>
      <c r="F66" s="17"/>
    </row>
    <row r="67" spans="1:6" ht="15.75" customHeight="1" x14ac:dyDescent="0.25">
      <c r="A67" s="17"/>
      <c r="B67" s="17"/>
      <c r="C67" s="17"/>
      <c r="D67" s="17"/>
      <c r="E67" s="17"/>
      <c r="F67" s="17"/>
    </row>
    <row r="68" spans="1:6" ht="15.75" customHeight="1" x14ac:dyDescent="0.25">
      <c r="A68" s="17"/>
      <c r="B68" s="17"/>
      <c r="C68" s="17"/>
      <c r="D68" s="17"/>
      <c r="E68" s="17"/>
      <c r="F68" s="17"/>
    </row>
    <row r="69" spans="1:6" ht="15.75" customHeight="1" x14ac:dyDescent="0.25">
      <c r="A69" s="17"/>
      <c r="B69" s="17"/>
      <c r="C69" s="17"/>
      <c r="D69" s="17"/>
      <c r="E69" s="17"/>
      <c r="F69" s="17"/>
    </row>
    <row r="70" spans="1:6" ht="15.75" customHeight="1" x14ac:dyDescent="0.25">
      <c r="A70" s="17"/>
      <c r="B70" s="17"/>
      <c r="C70" s="17"/>
      <c r="D70" s="17"/>
      <c r="E70" s="17"/>
      <c r="F70" s="17"/>
    </row>
    <row r="71" spans="1:6" ht="15.75" customHeight="1" x14ac:dyDescent="0.25">
      <c r="A71" s="17"/>
      <c r="B71" s="17"/>
      <c r="C71" s="17"/>
      <c r="D71" s="17"/>
      <c r="E71" s="17"/>
      <c r="F71" s="17"/>
    </row>
    <row r="72" spans="1:6" ht="15.75" customHeight="1" x14ac:dyDescent="0.25">
      <c r="A72" s="17"/>
      <c r="B72" s="17"/>
      <c r="C72" s="17"/>
      <c r="D72" s="17"/>
      <c r="E72" s="17"/>
      <c r="F72" s="17"/>
    </row>
    <row r="73" spans="1:6" ht="15.75" customHeight="1" x14ac:dyDescent="0.25">
      <c r="A73" s="17"/>
      <c r="B73" s="17"/>
      <c r="C73" s="17"/>
      <c r="D73" s="17"/>
      <c r="E73" s="17"/>
      <c r="F73" s="17"/>
    </row>
    <row r="74" spans="1:6" ht="15.75" customHeight="1" x14ac:dyDescent="0.25">
      <c r="A74" s="17"/>
      <c r="B74" s="17"/>
      <c r="C74" s="17"/>
      <c r="D74" s="17"/>
      <c r="E74" s="17"/>
      <c r="F74" s="17"/>
    </row>
    <row r="75" spans="1:6" ht="15.75" customHeight="1" x14ac:dyDescent="0.25">
      <c r="A75" s="17"/>
      <c r="B75" s="17"/>
      <c r="C75" s="17"/>
      <c r="D75" s="17"/>
      <c r="E75" s="17"/>
      <c r="F75" s="17"/>
    </row>
    <row r="76" spans="1:6" ht="15.75" customHeight="1" x14ac:dyDescent="0.25">
      <c r="A76" s="17"/>
      <c r="B76" s="17"/>
      <c r="C76" s="17"/>
      <c r="D76" s="17"/>
      <c r="E76" s="17"/>
      <c r="F76" s="17"/>
    </row>
    <row r="77" spans="1:6" ht="15.75" customHeight="1" x14ac:dyDescent="0.25">
      <c r="A77" s="17"/>
      <c r="B77" s="17"/>
      <c r="C77" s="17"/>
      <c r="D77" s="17"/>
      <c r="E77" s="17"/>
      <c r="F77" s="17"/>
    </row>
    <row r="78" spans="1:6" ht="15.75" customHeight="1" x14ac:dyDescent="0.25">
      <c r="A78" s="17"/>
      <c r="B78" s="17"/>
      <c r="C78" s="17"/>
      <c r="D78" s="17"/>
      <c r="E78" s="17"/>
      <c r="F78" s="17"/>
    </row>
    <row r="79" spans="1:6" ht="15.75" customHeight="1" x14ac:dyDescent="0.25">
      <c r="A79" s="17"/>
      <c r="B79" s="17"/>
      <c r="C79" s="17"/>
      <c r="D79" s="17"/>
      <c r="E79" s="17"/>
      <c r="F79" s="17"/>
    </row>
    <row r="80" spans="1:6" ht="15.75" customHeight="1" x14ac:dyDescent="0.25">
      <c r="A80" s="17"/>
      <c r="B80" s="17"/>
      <c r="C80" s="17"/>
      <c r="D80" s="17"/>
      <c r="E80" s="17"/>
      <c r="F80" s="17"/>
    </row>
    <row r="81" spans="1:6" ht="15.75" customHeight="1" x14ac:dyDescent="0.25">
      <c r="A81" s="17"/>
      <c r="B81" s="17"/>
      <c r="C81" s="17"/>
      <c r="D81" s="17"/>
      <c r="E81" s="17"/>
      <c r="F81" s="17"/>
    </row>
    <row r="82" spans="1:6" ht="15.75" customHeight="1" x14ac:dyDescent="0.25">
      <c r="A82" s="17"/>
      <c r="B82" s="17"/>
      <c r="C82" s="17"/>
      <c r="D82" s="17"/>
      <c r="E82" s="17"/>
      <c r="F82" s="17"/>
    </row>
    <row r="83" spans="1:6" ht="15.75" customHeight="1" x14ac:dyDescent="0.25">
      <c r="A83" s="17"/>
      <c r="B83" s="17"/>
      <c r="C83" s="17"/>
      <c r="D83" s="17"/>
      <c r="E83" s="17"/>
      <c r="F83" s="17"/>
    </row>
    <row r="84" spans="1:6" ht="15.75" customHeight="1" x14ac:dyDescent="0.25">
      <c r="A84" s="17"/>
      <c r="B84" s="17"/>
      <c r="C84" s="17"/>
      <c r="D84" s="17"/>
      <c r="E84" s="17"/>
      <c r="F84" s="17"/>
    </row>
    <row r="85" spans="1:6" ht="15.75" customHeight="1" x14ac:dyDescent="0.25">
      <c r="A85" s="17"/>
      <c r="B85" s="17"/>
      <c r="C85" s="17"/>
      <c r="D85" s="17"/>
      <c r="E85" s="17"/>
      <c r="F85" s="17"/>
    </row>
    <row r="86" spans="1:6" ht="15.75" customHeight="1" x14ac:dyDescent="0.25">
      <c r="A86" s="17"/>
      <c r="B86" s="17"/>
      <c r="C86" s="17"/>
      <c r="D86" s="17"/>
      <c r="E86" s="17"/>
      <c r="F86" s="17"/>
    </row>
    <row r="87" spans="1:6" ht="15.75" customHeight="1" x14ac:dyDescent="0.25">
      <c r="A87" s="17"/>
      <c r="B87" s="17"/>
      <c r="C87" s="17"/>
      <c r="D87" s="17"/>
      <c r="E87" s="17"/>
      <c r="F87" s="17"/>
    </row>
    <row r="88" spans="1:6" ht="15.75" customHeight="1" x14ac:dyDescent="0.25">
      <c r="A88" s="17"/>
      <c r="B88" s="17"/>
      <c r="C88" s="17"/>
      <c r="D88" s="17"/>
      <c r="E88" s="17"/>
      <c r="F88" s="17"/>
    </row>
    <row r="89" spans="1:6" ht="15.75" customHeight="1" x14ac:dyDescent="0.25">
      <c r="A89" s="17"/>
      <c r="B89" s="17"/>
      <c r="C89" s="17"/>
      <c r="D89" s="17"/>
      <c r="E89" s="17"/>
      <c r="F89" s="17"/>
    </row>
    <row r="90" spans="1:6" ht="15.75" customHeight="1" x14ac:dyDescent="0.25">
      <c r="A90" s="17"/>
      <c r="B90" s="17"/>
      <c r="C90" s="17"/>
      <c r="D90" s="17"/>
      <c r="E90" s="17"/>
      <c r="F90" s="17"/>
    </row>
    <row r="91" spans="1:6" ht="15.75" customHeight="1" x14ac:dyDescent="0.25">
      <c r="A91" s="17"/>
      <c r="B91" s="17"/>
      <c r="C91" s="17"/>
      <c r="D91" s="17"/>
      <c r="E91" s="17"/>
      <c r="F91" s="17"/>
    </row>
    <row r="92" spans="1:6" ht="15.75" customHeight="1" x14ac:dyDescent="0.25">
      <c r="A92" s="17"/>
      <c r="B92" s="17"/>
      <c r="C92" s="17"/>
      <c r="D92" s="17"/>
      <c r="E92" s="17"/>
      <c r="F92" s="17"/>
    </row>
    <row r="93" spans="1:6" ht="15.75" customHeight="1" x14ac:dyDescent="0.25">
      <c r="A93" s="17"/>
      <c r="B93" s="17"/>
      <c r="C93" s="17"/>
      <c r="D93" s="17"/>
      <c r="E93" s="17"/>
      <c r="F93" s="17"/>
    </row>
    <row r="94" spans="1:6" ht="15.75" customHeight="1" x14ac:dyDescent="0.25">
      <c r="A94" s="17"/>
      <c r="B94" s="17"/>
      <c r="C94" s="17"/>
      <c r="D94" s="17"/>
      <c r="E94" s="17"/>
      <c r="F94" s="17"/>
    </row>
    <row r="95" spans="1:6" ht="15.75" customHeight="1" x14ac:dyDescent="0.25">
      <c r="A95" s="17"/>
      <c r="B95" s="17"/>
      <c r="C95" s="17"/>
      <c r="D95" s="17"/>
      <c r="E95" s="17"/>
      <c r="F95" s="17"/>
    </row>
    <row r="96" spans="1:6" ht="15.75" customHeight="1" x14ac:dyDescent="0.25">
      <c r="A96" s="17"/>
      <c r="B96" s="17"/>
      <c r="C96" s="17"/>
      <c r="D96" s="17"/>
      <c r="E96" s="17"/>
      <c r="F96" s="17"/>
    </row>
    <row r="97" spans="1:6" ht="15.75" customHeight="1" x14ac:dyDescent="0.25">
      <c r="A97" s="17"/>
      <c r="B97" s="17"/>
      <c r="C97" s="17"/>
      <c r="D97" s="17"/>
      <c r="E97" s="17"/>
      <c r="F97" s="17"/>
    </row>
    <row r="98" spans="1:6" ht="15.75" customHeight="1" x14ac:dyDescent="0.25">
      <c r="A98" s="17"/>
      <c r="B98" s="17"/>
      <c r="C98" s="17"/>
      <c r="D98" s="17"/>
      <c r="E98" s="17"/>
      <c r="F98" s="17"/>
    </row>
    <row r="99" spans="1:6" ht="15.75" customHeight="1" x14ac:dyDescent="0.25">
      <c r="A99" s="17"/>
      <c r="B99" s="17"/>
      <c r="C99" s="17"/>
      <c r="D99" s="17"/>
      <c r="E99" s="17"/>
      <c r="F99" s="17"/>
    </row>
    <row r="100" spans="1:6" ht="15.75" customHeight="1" x14ac:dyDescent="0.25">
      <c r="A100" s="17"/>
      <c r="B100" s="17"/>
      <c r="C100" s="17"/>
      <c r="D100" s="17"/>
      <c r="E100" s="17"/>
      <c r="F100" s="17"/>
    </row>
  </sheetData>
  <mergeCells count="1">
    <mergeCell ref="A1:F1"/>
  </mergeCells>
  <pageMargins left="0.75" right="0.75" top="1" bottom="1" header="0" footer="0"/>
  <pageSetup paperSize="9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8E44AD"/>
  </sheetPr>
  <dimension ref="A1:F100"/>
  <sheetViews>
    <sheetView workbookViewId="0">
      <selection sqref="A1:E1"/>
    </sheetView>
  </sheetViews>
  <sheetFormatPr defaultColWidth="14.42578125" defaultRowHeight="15" customHeight="1" x14ac:dyDescent="0.25"/>
  <cols>
    <col min="1" max="1" width="8" customWidth="1"/>
    <col min="2" max="2" width="30" customWidth="1"/>
    <col min="3" max="3" width="76.140625" customWidth="1"/>
    <col min="4" max="6" width="8.7109375" customWidth="1"/>
  </cols>
  <sheetData>
    <row r="1" spans="1:6" ht="27.75" customHeight="1" x14ac:dyDescent="0.25">
      <c r="A1" s="175" t="s">
        <v>370</v>
      </c>
      <c r="B1" s="146"/>
      <c r="C1" s="146"/>
      <c r="D1" s="146"/>
      <c r="E1" s="147"/>
      <c r="F1" s="3"/>
    </row>
    <row r="2" spans="1:6" ht="15" customHeight="1" x14ac:dyDescent="0.25">
      <c r="A2" s="124" t="s">
        <v>371</v>
      </c>
      <c r="B2" s="124" t="s">
        <v>372</v>
      </c>
      <c r="C2" s="124" t="s">
        <v>373</v>
      </c>
      <c r="D2" s="3"/>
      <c r="E2" s="3"/>
      <c r="F2" s="3"/>
    </row>
    <row r="3" spans="1:6" ht="39.75" customHeight="1" x14ac:dyDescent="0.25">
      <c r="A3" s="49" t="s">
        <v>374</v>
      </c>
      <c r="B3" s="125" t="s">
        <v>375</v>
      </c>
      <c r="C3" s="126" t="s">
        <v>376</v>
      </c>
      <c r="D3" s="3"/>
      <c r="E3" s="3"/>
      <c r="F3" s="3"/>
    </row>
    <row r="4" spans="1:6" ht="39.75" customHeight="1" x14ac:dyDescent="0.25">
      <c r="A4" s="127" t="s">
        <v>377</v>
      </c>
      <c r="B4" s="128" t="s">
        <v>378</v>
      </c>
      <c r="C4" s="129" t="s">
        <v>379</v>
      </c>
      <c r="D4" s="3"/>
      <c r="E4" s="3"/>
      <c r="F4" s="3"/>
    </row>
    <row r="5" spans="1:6" ht="39.75" customHeight="1" x14ac:dyDescent="0.25">
      <c r="A5" s="130" t="s">
        <v>380</v>
      </c>
      <c r="B5" s="131" t="s">
        <v>381</v>
      </c>
      <c r="C5" s="132" t="s">
        <v>382</v>
      </c>
      <c r="D5" s="3"/>
      <c r="E5" s="3"/>
      <c r="F5" s="3"/>
    </row>
    <row r="6" spans="1:6" ht="39.75" customHeight="1" x14ac:dyDescent="0.25">
      <c r="A6" s="130" t="s">
        <v>380</v>
      </c>
      <c r="B6" s="131" t="s">
        <v>383</v>
      </c>
      <c r="C6" s="132" t="s">
        <v>384</v>
      </c>
      <c r="D6" s="3"/>
      <c r="E6" s="3"/>
      <c r="F6" s="3"/>
    </row>
    <row r="7" spans="1:6" ht="39.75" customHeight="1" x14ac:dyDescent="0.25">
      <c r="A7" s="40" t="s">
        <v>385</v>
      </c>
      <c r="B7" s="4" t="s">
        <v>386</v>
      </c>
      <c r="C7" s="133" t="s">
        <v>387</v>
      </c>
      <c r="D7" s="3"/>
      <c r="E7" s="3"/>
      <c r="F7" s="3"/>
    </row>
    <row r="8" spans="1:6" ht="39.75" customHeight="1" x14ac:dyDescent="0.25">
      <c r="A8" s="49" t="s">
        <v>388</v>
      </c>
      <c r="B8" s="125" t="s">
        <v>389</v>
      </c>
      <c r="C8" s="126" t="s">
        <v>390</v>
      </c>
      <c r="D8" s="3"/>
      <c r="E8" s="3"/>
      <c r="F8" s="3"/>
    </row>
    <row r="9" spans="1:6" ht="39.75" customHeight="1" x14ac:dyDescent="0.25">
      <c r="A9" s="52" t="s">
        <v>391</v>
      </c>
      <c r="B9" s="134" t="s">
        <v>392</v>
      </c>
      <c r="C9" s="135" t="s">
        <v>393</v>
      </c>
      <c r="D9" s="3"/>
      <c r="E9" s="3"/>
      <c r="F9" s="3"/>
    </row>
    <row r="10" spans="1:6" ht="39.75" customHeight="1" x14ac:dyDescent="0.25">
      <c r="A10" s="52" t="s">
        <v>394</v>
      </c>
      <c r="B10" s="134" t="s">
        <v>395</v>
      </c>
      <c r="C10" s="135" t="s">
        <v>396</v>
      </c>
      <c r="D10" s="3"/>
      <c r="E10" s="3"/>
      <c r="F10" s="3"/>
    </row>
    <row r="11" spans="1:6" ht="14.25" customHeight="1" x14ac:dyDescent="0.25">
      <c r="A11" s="17"/>
      <c r="B11" s="17"/>
      <c r="C11" s="17"/>
      <c r="D11" s="3"/>
      <c r="E11" s="3"/>
      <c r="F11" s="3"/>
    </row>
    <row r="12" spans="1:6" ht="14.25" customHeight="1" x14ac:dyDescent="0.25">
      <c r="A12" s="17"/>
      <c r="B12" s="17"/>
      <c r="C12" s="17"/>
      <c r="D12" s="3"/>
      <c r="E12" s="3"/>
      <c r="F12" s="3"/>
    </row>
    <row r="13" spans="1:6" ht="21.75" customHeight="1" x14ac:dyDescent="0.25">
      <c r="A13" s="159" t="s">
        <v>397</v>
      </c>
      <c r="B13" s="146"/>
      <c r="C13" s="146"/>
      <c r="D13" s="146"/>
      <c r="E13" s="147"/>
      <c r="F13" s="3"/>
    </row>
    <row r="14" spans="1:6" ht="30" customHeight="1" x14ac:dyDescent="0.25">
      <c r="A14" s="136" t="s">
        <v>398</v>
      </c>
      <c r="B14" s="136" t="s">
        <v>399</v>
      </c>
      <c r="C14" s="38" t="s">
        <v>400</v>
      </c>
      <c r="D14" s="3"/>
      <c r="E14" s="3"/>
      <c r="F14" s="3"/>
    </row>
    <row r="15" spans="1:6" ht="30" customHeight="1" x14ac:dyDescent="0.25">
      <c r="A15" s="137" t="s">
        <v>401</v>
      </c>
      <c r="B15" s="137" t="s">
        <v>402</v>
      </c>
      <c r="C15" s="41" t="s">
        <v>403</v>
      </c>
      <c r="D15" s="3"/>
      <c r="E15" s="3"/>
      <c r="F15" s="3"/>
    </row>
    <row r="16" spans="1:6" ht="30" customHeight="1" x14ac:dyDescent="0.25">
      <c r="A16" s="136" t="s">
        <v>404</v>
      </c>
      <c r="B16" s="136" t="s">
        <v>405</v>
      </c>
      <c r="C16" s="38" t="s">
        <v>406</v>
      </c>
      <c r="D16" s="3"/>
      <c r="E16" s="3"/>
      <c r="F16" s="3"/>
    </row>
    <row r="17" spans="1:6" ht="14.25" customHeight="1" x14ac:dyDescent="0.25">
      <c r="A17" s="17"/>
      <c r="B17" s="17"/>
      <c r="C17" s="17"/>
      <c r="D17" s="3"/>
      <c r="E17" s="3"/>
      <c r="F17" s="3"/>
    </row>
    <row r="18" spans="1:6" ht="14.25" customHeight="1" x14ac:dyDescent="0.25">
      <c r="A18" s="17"/>
      <c r="B18" s="17"/>
      <c r="C18" s="17"/>
      <c r="D18" s="3"/>
      <c r="E18" s="3"/>
      <c r="F18" s="3"/>
    </row>
    <row r="19" spans="1:6" ht="14.25" customHeight="1" x14ac:dyDescent="0.25">
      <c r="A19" s="17"/>
      <c r="B19" s="17"/>
      <c r="C19" s="17"/>
      <c r="D19" s="3"/>
      <c r="E19" s="3"/>
      <c r="F19" s="3"/>
    </row>
    <row r="20" spans="1:6" ht="14.25" customHeight="1" x14ac:dyDescent="0.25">
      <c r="A20" s="17"/>
      <c r="B20" s="17"/>
      <c r="C20" s="17"/>
      <c r="D20" s="3"/>
      <c r="E20" s="3"/>
      <c r="F20" s="3"/>
    </row>
    <row r="21" spans="1:6" ht="15.75" customHeight="1" x14ac:dyDescent="0.25">
      <c r="A21" s="17"/>
      <c r="B21" s="17"/>
      <c r="C21" s="17"/>
      <c r="D21" s="3"/>
      <c r="E21" s="3"/>
      <c r="F21" s="3"/>
    </row>
    <row r="22" spans="1:6" ht="15.75" customHeight="1" x14ac:dyDescent="0.25">
      <c r="A22" s="17"/>
      <c r="B22" s="17"/>
      <c r="C22" s="17"/>
      <c r="D22" s="3"/>
      <c r="E22" s="3"/>
      <c r="F22" s="3"/>
    </row>
    <row r="23" spans="1:6" ht="15.75" customHeight="1" x14ac:dyDescent="0.25">
      <c r="A23" s="17"/>
      <c r="B23" s="17"/>
      <c r="C23" s="17"/>
      <c r="D23" s="3"/>
      <c r="E23" s="3"/>
      <c r="F23" s="3"/>
    </row>
    <row r="24" spans="1:6" ht="15.75" customHeight="1" x14ac:dyDescent="0.25">
      <c r="A24" s="17"/>
      <c r="B24" s="17"/>
      <c r="C24" s="17"/>
      <c r="D24" s="3"/>
      <c r="E24" s="3"/>
      <c r="F24" s="3"/>
    </row>
    <row r="25" spans="1:6" ht="15.75" customHeight="1" x14ac:dyDescent="0.25">
      <c r="A25" s="17"/>
      <c r="B25" s="17"/>
      <c r="C25" s="17"/>
      <c r="D25" s="3"/>
      <c r="E25" s="3"/>
      <c r="F25" s="3"/>
    </row>
    <row r="26" spans="1:6" ht="15.75" customHeight="1" x14ac:dyDescent="0.25">
      <c r="A26" s="17"/>
      <c r="B26" s="17"/>
      <c r="C26" s="17"/>
      <c r="D26" s="3"/>
      <c r="E26" s="3"/>
      <c r="F26" s="3"/>
    </row>
    <row r="27" spans="1:6" ht="15.75" customHeight="1" x14ac:dyDescent="0.25">
      <c r="A27" s="17"/>
      <c r="B27" s="17"/>
      <c r="C27" s="17"/>
      <c r="D27" s="3"/>
      <c r="E27" s="3"/>
      <c r="F27" s="3"/>
    </row>
    <row r="28" spans="1:6" ht="15.75" customHeight="1" x14ac:dyDescent="0.25">
      <c r="A28" s="17"/>
      <c r="B28" s="17"/>
      <c r="C28" s="17"/>
      <c r="D28" s="3"/>
      <c r="E28" s="3"/>
      <c r="F28" s="3"/>
    </row>
    <row r="29" spans="1:6" ht="15.75" customHeight="1" x14ac:dyDescent="0.25">
      <c r="A29" s="17"/>
      <c r="B29" s="17"/>
      <c r="C29" s="17"/>
      <c r="D29" s="3"/>
      <c r="E29" s="3"/>
      <c r="F29" s="3"/>
    </row>
    <row r="30" spans="1:6" ht="15.75" customHeight="1" x14ac:dyDescent="0.25">
      <c r="A30" s="17"/>
      <c r="B30" s="17"/>
      <c r="C30" s="17"/>
      <c r="D30" s="3"/>
      <c r="E30" s="3"/>
      <c r="F30" s="3"/>
    </row>
    <row r="31" spans="1:6" ht="15.75" customHeight="1" x14ac:dyDescent="0.25">
      <c r="A31" s="17"/>
      <c r="B31" s="17"/>
      <c r="C31" s="17"/>
      <c r="D31" s="3"/>
      <c r="E31" s="3"/>
      <c r="F31" s="3"/>
    </row>
    <row r="32" spans="1:6" ht="15.75" customHeight="1" x14ac:dyDescent="0.25">
      <c r="A32" s="17"/>
      <c r="B32" s="17"/>
      <c r="C32" s="17"/>
      <c r="D32" s="3"/>
      <c r="E32" s="3"/>
      <c r="F32" s="3"/>
    </row>
    <row r="33" spans="1:6" ht="15.75" customHeight="1" x14ac:dyDescent="0.25">
      <c r="A33" s="17"/>
      <c r="B33" s="17"/>
      <c r="C33" s="17"/>
      <c r="D33" s="3"/>
      <c r="E33" s="3"/>
      <c r="F33" s="3"/>
    </row>
    <row r="34" spans="1:6" ht="15.75" customHeight="1" x14ac:dyDescent="0.25">
      <c r="A34" s="17"/>
      <c r="B34" s="17"/>
      <c r="C34" s="17"/>
      <c r="D34" s="3"/>
      <c r="E34" s="3"/>
      <c r="F34" s="3"/>
    </row>
    <row r="35" spans="1:6" ht="15.75" customHeight="1" x14ac:dyDescent="0.25">
      <c r="A35" s="17"/>
      <c r="B35" s="17"/>
      <c r="C35" s="17"/>
      <c r="D35" s="3"/>
      <c r="E35" s="3"/>
      <c r="F35" s="3"/>
    </row>
    <row r="36" spans="1:6" ht="15.75" customHeight="1" x14ac:dyDescent="0.25">
      <c r="A36" s="17"/>
      <c r="B36" s="17"/>
      <c r="C36" s="17"/>
      <c r="D36" s="3"/>
      <c r="E36" s="3"/>
      <c r="F36" s="3"/>
    </row>
    <row r="37" spans="1:6" ht="15.75" customHeight="1" x14ac:dyDescent="0.25">
      <c r="A37" s="17"/>
      <c r="B37" s="17"/>
      <c r="C37" s="17"/>
      <c r="D37" s="3"/>
      <c r="E37" s="3"/>
      <c r="F37" s="3"/>
    </row>
    <row r="38" spans="1:6" ht="15.75" customHeight="1" x14ac:dyDescent="0.25">
      <c r="A38" s="17"/>
      <c r="B38" s="17"/>
      <c r="C38" s="17"/>
      <c r="D38" s="3"/>
      <c r="E38" s="3"/>
      <c r="F38" s="3"/>
    </row>
    <row r="39" spans="1:6" ht="15.75" customHeight="1" x14ac:dyDescent="0.25">
      <c r="A39" s="17"/>
      <c r="B39" s="17"/>
      <c r="C39" s="17"/>
      <c r="D39" s="3"/>
      <c r="E39" s="3"/>
      <c r="F39" s="3"/>
    </row>
    <row r="40" spans="1:6" ht="15.75" customHeight="1" x14ac:dyDescent="0.25">
      <c r="A40" s="17"/>
      <c r="B40" s="17"/>
      <c r="C40" s="17"/>
      <c r="D40" s="3"/>
      <c r="E40" s="3"/>
      <c r="F40" s="3"/>
    </row>
    <row r="41" spans="1:6" ht="15.75" customHeight="1" x14ac:dyDescent="0.25">
      <c r="A41" s="17"/>
      <c r="B41" s="17"/>
      <c r="C41" s="17"/>
      <c r="D41" s="3"/>
      <c r="E41" s="3"/>
      <c r="F41" s="3"/>
    </row>
    <row r="42" spans="1:6" ht="15.75" customHeight="1" x14ac:dyDescent="0.25">
      <c r="A42" s="17"/>
      <c r="B42" s="17"/>
      <c r="C42" s="17"/>
      <c r="D42" s="3"/>
      <c r="E42" s="3"/>
      <c r="F42" s="3"/>
    </row>
    <row r="43" spans="1:6" ht="15.75" customHeight="1" x14ac:dyDescent="0.25">
      <c r="A43" s="17"/>
      <c r="B43" s="17"/>
      <c r="C43" s="17"/>
      <c r="D43" s="3"/>
      <c r="E43" s="3"/>
      <c r="F43" s="3"/>
    </row>
    <row r="44" spans="1:6" ht="15.75" customHeight="1" x14ac:dyDescent="0.25">
      <c r="A44" s="17"/>
      <c r="B44" s="17"/>
      <c r="C44" s="17"/>
      <c r="D44" s="3"/>
      <c r="E44" s="3"/>
      <c r="F44" s="3"/>
    </row>
    <row r="45" spans="1:6" ht="15.75" customHeight="1" x14ac:dyDescent="0.25">
      <c r="A45" s="17"/>
      <c r="B45" s="17"/>
      <c r="C45" s="17"/>
      <c r="D45" s="3"/>
      <c r="E45" s="3"/>
      <c r="F45" s="3"/>
    </row>
    <row r="46" spans="1:6" ht="15.75" customHeight="1" x14ac:dyDescent="0.25">
      <c r="A46" s="17"/>
      <c r="B46" s="17"/>
      <c r="C46" s="17"/>
      <c r="D46" s="3"/>
      <c r="E46" s="3"/>
      <c r="F46" s="3"/>
    </row>
    <row r="47" spans="1:6" ht="15.75" customHeight="1" x14ac:dyDescent="0.25">
      <c r="A47" s="17"/>
      <c r="B47" s="17"/>
      <c r="C47" s="17"/>
      <c r="D47" s="3"/>
      <c r="E47" s="3"/>
      <c r="F47" s="3"/>
    </row>
    <row r="48" spans="1:6" ht="15.75" customHeight="1" x14ac:dyDescent="0.25">
      <c r="A48" s="17"/>
      <c r="B48" s="17"/>
      <c r="C48" s="17"/>
      <c r="D48" s="3"/>
      <c r="E48" s="3"/>
      <c r="F48" s="3"/>
    </row>
    <row r="49" spans="1:6" ht="15.75" customHeight="1" x14ac:dyDescent="0.25">
      <c r="A49" s="17"/>
      <c r="B49" s="17"/>
      <c r="C49" s="17"/>
      <c r="D49" s="3"/>
      <c r="E49" s="3"/>
      <c r="F49" s="3"/>
    </row>
    <row r="50" spans="1:6" ht="15.75" customHeight="1" x14ac:dyDescent="0.25">
      <c r="A50" s="17"/>
      <c r="B50" s="17"/>
      <c r="C50" s="17"/>
      <c r="D50" s="3"/>
      <c r="E50" s="3"/>
      <c r="F50" s="3"/>
    </row>
    <row r="51" spans="1:6" ht="15.75" customHeight="1" x14ac:dyDescent="0.25">
      <c r="A51" s="17"/>
      <c r="B51" s="17"/>
      <c r="C51" s="17"/>
      <c r="D51" s="3"/>
      <c r="E51" s="3"/>
      <c r="F51" s="3"/>
    </row>
    <row r="52" spans="1:6" ht="15.75" customHeight="1" x14ac:dyDescent="0.25">
      <c r="A52" s="17"/>
      <c r="B52" s="17"/>
      <c r="C52" s="17"/>
      <c r="D52" s="3"/>
      <c r="E52" s="3"/>
      <c r="F52" s="3"/>
    </row>
    <row r="53" spans="1:6" ht="15.75" customHeight="1" x14ac:dyDescent="0.25">
      <c r="A53" s="17"/>
      <c r="B53" s="17"/>
      <c r="C53" s="17"/>
      <c r="D53" s="3"/>
      <c r="E53" s="3"/>
      <c r="F53" s="3"/>
    </row>
    <row r="54" spans="1:6" ht="15.75" customHeight="1" x14ac:dyDescent="0.25">
      <c r="A54" s="17"/>
      <c r="B54" s="17"/>
      <c r="C54" s="17"/>
      <c r="D54" s="3"/>
      <c r="E54" s="3"/>
      <c r="F54" s="3"/>
    </row>
    <row r="55" spans="1:6" ht="15.75" customHeight="1" x14ac:dyDescent="0.25">
      <c r="A55" s="17"/>
      <c r="B55" s="17"/>
      <c r="C55" s="17"/>
      <c r="D55" s="3"/>
      <c r="E55" s="3"/>
      <c r="F55" s="3"/>
    </row>
    <row r="56" spans="1:6" ht="15.75" customHeight="1" x14ac:dyDescent="0.25">
      <c r="A56" s="17"/>
      <c r="B56" s="17"/>
      <c r="C56" s="17"/>
      <c r="D56" s="3"/>
      <c r="E56" s="3"/>
      <c r="F56" s="3"/>
    </row>
    <row r="57" spans="1:6" ht="15.75" customHeight="1" x14ac:dyDescent="0.25">
      <c r="A57" s="17"/>
      <c r="B57" s="17"/>
      <c r="C57" s="17"/>
      <c r="D57" s="3"/>
      <c r="E57" s="3"/>
      <c r="F57" s="3"/>
    </row>
    <row r="58" spans="1:6" ht="15.75" customHeight="1" x14ac:dyDescent="0.25">
      <c r="A58" s="17"/>
      <c r="B58" s="17"/>
      <c r="C58" s="17"/>
      <c r="D58" s="3"/>
      <c r="E58" s="3"/>
      <c r="F58" s="3"/>
    </row>
    <row r="59" spans="1:6" ht="15.75" customHeight="1" x14ac:dyDescent="0.25">
      <c r="A59" s="17"/>
      <c r="B59" s="17"/>
      <c r="C59" s="17"/>
      <c r="D59" s="3"/>
      <c r="E59" s="3"/>
      <c r="F59" s="3"/>
    </row>
    <row r="60" spans="1:6" ht="15.75" customHeight="1" x14ac:dyDescent="0.25">
      <c r="A60" s="17"/>
      <c r="B60" s="17"/>
      <c r="C60" s="17"/>
      <c r="D60" s="3"/>
      <c r="E60" s="3"/>
      <c r="F60" s="3"/>
    </row>
    <row r="61" spans="1:6" ht="15.75" customHeight="1" x14ac:dyDescent="0.25">
      <c r="A61" s="17"/>
      <c r="B61" s="17"/>
      <c r="C61" s="17"/>
      <c r="D61" s="3"/>
      <c r="E61" s="3"/>
      <c r="F61" s="3"/>
    </row>
    <row r="62" spans="1:6" ht="15.75" customHeight="1" x14ac:dyDescent="0.25">
      <c r="A62" s="17"/>
      <c r="B62" s="17"/>
      <c r="C62" s="17"/>
      <c r="D62" s="3"/>
      <c r="E62" s="3"/>
      <c r="F62" s="3"/>
    </row>
    <row r="63" spans="1:6" ht="15.75" customHeight="1" x14ac:dyDescent="0.25">
      <c r="A63" s="17"/>
      <c r="B63" s="17"/>
      <c r="C63" s="17"/>
      <c r="D63" s="3"/>
      <c r="E63" s="3"/>
      <c r="F63" s="3"/>
    </row>
    <row r="64" spans="1:6" ht="15.75" customHeight="1" x14ac:dyDescent="0.25">
      <c r="A64" s="17"/>
      <c r="B64" s="17"/>
      <c r="C64" s="17"/>
      <c r="D64" s="3"/>
      <c r="E64" s="3"/>
      <c r="F64" s="3"/>
    </row>
    <row r="65" spans="1:6" ht="15.75" customHeight="1" x14ac:dyDescent="0.25">
      <c r="A65" s="17"/>
      <c r="B65" s="17"/>
      <c r="C65" s="17"/>
      <c r="D65" s="3"/>
      <c r="E65" s="3"/>
      <c r="F65" s="3"/>
    </row>
    <row r="66" spans="1:6" ht="15.75" customHeight="1" x14ac:dyDescent="0.25">
      <c r="A66" s="17"/>
      <c r="B66" s="17"/>
      <c r="C66" s="17"/>
      <c r="D66" s="3"/>
      <c r="E66" s="3"/>
      <c r="F66" s="3"/>
    </row>
    <row r="67" spans="1:6" ht="15.75" customHeight="1" x14ac:dyDescent="0.25">
      <c r="A67" s="17"/>
      <c r="B67" s="17"/>
      <c r="C67" s="17"/>
      <c r="D67" s="3"/>
      <c r="E67" s="3"/>
      <c r="F67" s="3"/>
    </row>
    <row r="68" spans="1:6" ht="15.75" customHeight="1" x14ac:dyDescent="0.25">
      <c r="A68" s="17"/>
      <c r="B68" s="17"/>
      <c r="C68" s="17"/>
      <c r="D68" s="3"/>
      <c r="E68" s="3"/>
      <c r="F68" s="3"/>
    </row>
    <row r="69" spans="1:6" ht="15.75" customHeight="1" x14ac:dyDescent="0.25">
      <c r="A69" s="17"/>
      <c r="B69" s="17"/>
      <c r="C69" s="17"/>
      <c r="D69" s="3"/>
      <c r="E69" s="3"/>
      <c r="F69" s="3"/>
    </row>
    <row r="70" spans="1:6" ht="15.75" customHeight="1" x14ac:dyDescent="0.25">
      <c r="A70" s="17"/>
      <c r="B70" s="17"/>
      <c r="C70" s="17"/>
      <c r="D70" s="3"/>
      <c r="E70" s="3"/>
      <c r="F70" s="3"/>
    </row>
    <row r="71" spans="1:6" ht="15.75" customHeight="1" x14ac:dyDescent="0.25">
      <c r="A71" s="17"/>
      <c r="B71" s="17"/>
      <c r="C71" s="17"/>
      <c r="D71" s="3"/>
      <c r="E71" s="3"/>
      <c r="F71" s="3"/>
    </row>
    <row r="72" spans="1:6" ht="15.75" customHeight="1" x14ac:dyDescent="0.25">
      <c r="A72" s="17"/>
      <c r="B72" s="17"/>
      <c r="C72" s="17"/>
      <c r="D72" s="3"/>
      <c r="E72" s="3"/>
      <c r="F72" s="3"/>
    </row>
    <row r="73" spans="1:6" ht="15.75" customHeight="1" x14ac:dyDescent="0.25">
      <c r="A73" s="17"/>
      <c r="B73" s="17"/>
      <c r="C73" s="17"/>
      <c r="D73" s="3"/>
      <c r="E73" s="3"/>
      <c r="F73" s="3"/>
    </row>
    <row r="74" spans="1:6" ht="15.75" customHeight="1" x14ac:dyDescent="0.25">
      <c r="A74" s="17"/>
      <c r="B74" s="17"/>
      <c r="C74" s="17"/>
      <c r="D74" s="3"/>
      <c r="E74" s="3"/>
      <c r="F74" s="3"/>
    </row>
    <row r="75" spans="1:6" ht="15.75" customHeight="1" x14ac:dyDescent="0.25">
      <c r="A75" s="17"/>
      <c r="B75" s="17"/>
      <c r="C75" s="17"/>
      <c r="D75" s="3"/>
      <c r="E75" s="3"/>
      <c r="F75" s="3"/>
    </row>
    <row r="76" spans="1:6" ht="15.75" customHeight="1" x14ac:dyDescent="0.25">
      <c r="A76" s="17"/>
      <c r="B76" s="17"/>
      <c r="C76" s="17"/>
      <c r="D76" s="3"/>
      <c r="E76" s="3"/>
      <c r="F76" s="3"/>
    </row>
    <row r="77" spans="1:6" ht="15.75" customHeight="1" x14ac:dyDescent="0.25">
      <c r="A77" s="17"/>
      <c r="B77" s="17"/>
      <c r="C77" s="17"/>
      <c r="D77" s="3"/>
      <c r="E77" s="3"/>
      <c r="F77" s="3"/>
    </row>
    <row r="78" spans="1:6" ht="15.75" customHeight="1" x14ac:dyDescent="0.25">
      <c r="A78" s="17"/>
      <c r="B78" s="17"/>
      <c r="C78" s="17"/>
      <c r="D78" s="3"/>
      <c r="E78" s="3"/>
      <c r="F78" s="3"/>
    </row>
    <row r="79" spans="1:6" ht="15.75" customHeight="1" x14ac:dyDescent="0.25">
      <c r="A79" s="17"/>
      <c r="B79" s="17"/>
      <c r="C79" s="17"/>
      <c r="D79" s="3"/>
      <c r="E79" s="3"/>
      <c r="F79" s="3"/>
    </row>
    <row r="80" spans="1:6" ht="15.75" customHeight="1" x14ac:dyDescent="0.25">
      <c r="A80" s="17"/>
      <c r="B80" s="17"/>
      <c r="C80" s="17"/>
      <c r="D80" s="3"/>
      <c r="E80" s="3"/>
      <c r="F80" s="3"/>
    </row>
    <row r="81" spans="1:6" ht="15.75" customHeight="1" x14ac:dyDescent="0.25">
      <c r="A81" s="17"/>
      <c r="B81" s="17"/>
      <c r="C81" s="17"/>
      <c r="D81" s="3"/>
      <c r="E81" s="3"/>
      <c r="F81" s="3"/>
    </row>
    <row r="82" spans="1:6" ht="15.75" customHeight="1" x14ac:dyDescent="0.25">
      <c r="A82" s="17"/>
      <c r="B82" s="17"/>
      <c r="C82" s="17"/>
      <c r="D82" s="3"/>
      <c r="E82" s="3"/>
      <c r="F82" s="3"/>
    </row>
    <row r="83" spans="1:6" ht="15.75" customHeight="1" x14ac:dyDescent="0.25">
      <c r="A83" s="17"/>
      <c r="B83" s="17"/>
      <c r="C83" s="17"/>
      <c r="D83" s="3"/>
      <c r="E83" s="3"/>
      <c r="F83" s="3"/>
    </row>
    <row r="84" spans="1:6" ht="15.75" customHeight="1" x14ac:dyDescent="0.25">
      <c r="A84" s="17"/>
      <c r="B84" s="17"/>
      <c r="C84" s="17"/>
      <c r="D84" s="3"/>
      <c r="E84" s="3"/>
      <c r="F84" s="3"/>
    </row>
    <row r="85" spans="1:6" ht="15.75" customHeight="1" x14ac:dyDescent="0.25">
      <c r="A85" s="17"/>
      <c r="B85" s="17"/>
      <c r="C85" s="17"/>
      <c r="D85" s="3"/>
      <c r="E85" s="3"/>
      <c r="F85" s="3"/>
    </row>
    <row r="86" spans="1:6" ht="15.75" customHeight="1" x14ac:dyDescent="0.25">
      <c r="A86" s="17"/>
      <c r="B86" s="17"/>
      <c r="C86" s="17"/>
      <c r="D86" s="3"/>
      <c r="E86" s="3"/>
      <c r="F86" s="3"/>
    </row>
    <row r="87" spans="1:6" ht="15.75" customHeight="1" x14ac:dyDescent="0.25">
      <c r="A87" s="17"/>
      <c r="B87" s="17"/>
      <c r="C87" s="17"/>
      <c r="D87" s="3"/>
      <c r="E87" s="3"/>
      <c r="F87" s="3"/>
    </row>
    <row r="88" spans="1:6" ht="15.75" customHeight="1" x14ac:dyDescent="0.25">
      <c r="A88" s="17"/>
      <c r="B88" s="17"/>
      <c r="C88" s="17"/>
      <c r="D88" s="3"/>
      <c r="E88" s="3"/>
      <c r="F88" s="3"/>
    </row>
    <row r="89" spans="1:6" ht="15.75" customHeight="1" x14ac:dyDescent="0.25">
      <c r="A89" s="17"/>
      <c r="B89" s="17"/>
      <c r="C89" s="17"/>
      <c r="D89" s="3"/>
      <c r="E89" s="3"/>
      <c r="F89" s="3"/>
    </row>
    <row r="90" spans="1:6" ht="15.75" customHeight="1" x14ac:dyDescent="0.25">
      <c r="A90" s="17"/>
      <c r="B90" s="17"/>
      <c r="C90" s="17"/>
      <c r="D90" s="3"/>
      <c r="E90" s="3"/>
      <c r="F90" s="3"/>
    </row>
    <row r="91" spans="1:6" ht="15.75" customHeight="1" x14ac:dyDescent="0.25">
      <c r="A91" s="17"/>
      <c r="B91" s="17"/>
      <c r="C91" s="17"/>
      <c r="D91" s="3"/>
      <c r="E91" s="3"/>
      <c r="F91" s="3"/>
    </row>
    <row r="92" spans="1:6" ht="15.75" customHeight="1" x14ac:dyDescent="0.25">
      <c r="A92" s="17"/>
      <c r="B92" s="17"/>
      <c r="C92" s="17"/>
      <c r="D92" s="3"/>
      <c r="E92" s="3"/>
      <c r="F92" s="3"/>
    </row>
    <row r="93" spans="1:6" ht="15.75" customHeight="1" x14ac:dyDescent="0.25">
      <c r="A93" s="17"/>
      <c r="B93" s="17"/>
      <c r="C93" s="17"/>
      <c r="D93" s="3"/>
      <c r="E93" s="3"/>
      <c r="F93" s="3"/>
    </row>
    <row r="94" spans="1:6" ht="15.75" customHeight="1" x14ac:dyDescent="0.25">
      <c r="A94" s="17"/>
      <c r="B94" s="17"/>
      <c r="C94" s="17"/>
      <c r="D94" s="3"/>
      <c r="E94" s="3"/>
      <c r="F94" s="3"/>
    </row>
    <row r="95" spans="1:6" ht="15.75" customHeight="1" x14ac:dyDescent="0.25">
      <c r="A95" s="17"/>
      <c r="B95" s="17"/>
      <c r="C95" s="17"/>
      <c r="D95" s="3"/>
      <c r="E95" s="3"/>
      <c r="F95" s="3"/>
    </row>
    <row r="96" spans="1:6" ht="15.75" customHeight="1" x14ac:dyDescent="0.25">
      <c r="A96" s="17"/>
      <c r="B96" s="17"/>
      <c r="C96" s="17"/>
      <c r="D96" s="3"/>
      <c r="E96" s="3"/>
      <c r="F96" s="3"/>
    </row>
    <row r="97" spans="1:6" ht="15.75" customHeight="1" x14ac:dyDescent="0.25">
      <c r="A97" s="17"/>
      <c r="B97" s="17"/>
      <c r="C97" s="17"/>
      <c r="D97" s="3"/>
      <c r="E97" s="3"/>
      <c r="F97" s="3"/>
    </row>
    <row r="98" spans="1:6" ht="15.75" customHeight="1" x14ac:dyDescent="0.25">
      <c r="A98" s="17"/>
      <c r="B98" s="17"/>
      <c r="C98" s="17"/>
      <c r="D98" s="3"/>
      <c r="E98" s="3"/>
      <c r="F98" s="3"/>
    </row>
    <row r="99" spans="1:6" ht="15.75" customHeight="1" x14ac:dyDescent="0.25">
      <c r="A99" s="17"/>
      <c r="B99" s="17"/>
      <c r="C99" s="17"/>
      <c r="D99" s="3"/>
      <c r="E99" s="3"/>
      <c r="F99" s="3"/>
    </row>
    <row r="100" spans="1:6" ht="15.75" customHeight="1" x14ac:dyDescent="0.25">
      <c r="A100" s="17"/>
      <c r="B100" s="17"/>
      <c r="C100" s="17"/>
      <c r="D100" s="3"/>
      <c r="E100" s="3"/>
      <c r="F100" s="3"/>
    </row>
  </sheetData>
  <mergeCells count="2">
    <mergeCell ref="A1:E1"/>
    <mergeCell ref="A13:E13"/>
  </mergeCells>
  <pageMargins left="0.75" right="0.75" top="1" bottom="1" header="0" footer="0"/>
  <pageSetup paperSize="9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100"/>
  <sheetViews>
    <sheetView workbookViewId="0"/>
  </sheetViews>
  <sheetFormatPr defaultColWidth="14.42578125" defaultRowHeight="15" customHeight="1" x14ac:dyDescent="0.25"/>
  <cols>
    <col min="1" max="6" width="8.7109375" customWidth="1"/>
  </cols>
  <sheetData>
    <row r="1" spans="1:6" ht="14.25" customHeight="1" x14ac:dyDescent="0.25">
      <c r="A1" s="3"/>
      <c r="B1" s="3"/>
      <c r="C1" s="3"/>
      <c r="D1" s="3"/>
      <c r="E1" s="3"/>
      <c r="F1" s="3"/>
    </row>
    <row r="2" spans="1:6" ht="14.25" customHeight="1" x14ac:dyDescent="0.25">
      <c r="A2" s="3"/>
      <c r="B2" s="3"/>
      <c r="C2" s="3"/>
      <c r="D2" s="3"/>
      <c r="E2" s="3"/>
      <c r="F2" s="3"/>
    </row>
    <row r="3" spans="1:6" ht="14.25" customHeight="1" x14ac:dyDescent="0.25">
      <c r="A3" s="3"/>
      <c r="B3" s="3"/>
      <c r="C3" s="3"/>
      <c r="D3" s="3"/>
      <c r="E3" s="3"/>
      <c r="F3" s="3"/>
    </row>
    <row r="4" spans="1:6" ht="14.25" customHeight="1" x14ac:dyDescent="0.25">
      <c r="A4" s="3"/>
      <c r="B4" s="3"/>
      <c r="C4" s="3"/>
      <c r="D4" s="3"/>
      <c r="E4" s="3"/>
      <c r="F4" s="3"/>
    </row>
    <row r="5" spans="1:6" ht="14.25" customHeight="1" x14ac:dyDescent="0.25">
      <c r="A5" s="3"/>
      <c r="B5" s="3"/>
      <c r="C5" s="3"/>
      <c r="D5" s="3"/>
      <c r="E5" s="3"/>
      <c r="F5" s="3"/>
    </row>
    <row r="6" spans="1:6" ht="14.25" customHeight="1" x14ac:dyDescent="0.25">
      <c r="A6" s="3"/>
      <c r="B6" s="3"/>
      <c r="C6" s="3"/>
      <c r="D6" s="3"/>
      <c r="E6" s="3"/>
      <c r="F6" s="3"/>
    </row>
    <row r="7" spans="1:6" ht="14.25" customHeight="1" x14ac:dyDescent="0.25">
      <c r="A7" s="3"/>
      <c r="B7" s="3"/>
      <c r="C7" s="3"/>
      <c r="D7" s="3"/>
      <c r="E7" s="3"/>
      <c r="F7" s="3"/>
    </row>
    <row r="8" spans="1:6" ht="14.25" customHeight="1" x14ac:dyDescent="0.25">
      <c r="A8" s="3"/>
      <c r="B8" s="3"/>
      <c r="C8" s="3"/>
      <c r="D8" s="3"/>
      <c r="E8" s="3"/>
      <c r="F8" s="3"/>
    </row>
    <row r="9" spans="1:6" ht="14.25" customHeight="1" x14ac:dyDescent="0.25">
      <c r="A9" s="3"/>
      <c r="B9" s="3"/>
      <c r="C9" s="3"/>
      <c r="D9" s="3"/>
      <c r="E9" s="3"/>
      <c r="F9" s="3"/>
    </row>
    <row r="10" spans="1:6" ht="14.25" customHeight="1" x14ac:dyDescent="0.25">
      <c r="A10" s="3"/>
      <c r="B10" s="3"/>
      <c r="C10" s="3"/>
      <c r="D10" s="3"/>
      <c r="E10" s="3"/>
      <c r="F10" s="3"/>
    </row>
    <row r="11" spans="1:6" ht="14.25" customHeight="1" x14ac:dyDescent="0.25">
      <c r="A11" s="3"/>
      <c r="B11" s="3"/>
      <c r="C11" s="3"/>
      <c r="D11" s="3"/>
      <c r="E11" s="3"/>
      <c r="F11" s="3"/>
    </row>
    <row r="12" spans="1:6" ht="14.25" customHeight="1" x14ac:dyDescent="0.25">
      <c r="A12" s="3"/>
      <c r="B12" s="3"/>
      <c r="C12" s="3"/>
      <c r="D12" s="3"/>
      <c r="E12" s="3"/>
      <c r="F12" s="3"/>
    </row>
    <row r="13" spans="1:6" ht="14.25" customHeight="1" x14ac:dyDescent="0.25">
      <c r="A13" s="3"/>
      <c r="B13" s="3"/>
      <c r="C13" s="3"/>
      <c r="D13" s="3"/>
      <c r="E13" s="3"/>
      <c r="F13" s="3"/>
    </row>
    <row r="14" spans="1:6" ht="14.25" customHeight="1" x14ac:dyDescent="0.25">
      <c r="A14" s="3"/>
      <c r="B14" s="3"/>
      <c r="C14" s="3"/>
      <c r="D14" s="3"/>
      <c r="E14" s="3"/>
      <c r="F14" s="3"/>
    </row>
    <row r="15" spans="1:6" ht="14.25" customHeight="1" x14ac:dyDescent="0.25">
      <c r="A15" s="3"/>
      <c r="B15" s="3"/>
      <c r="C15" s="3"/>
      <c r="D15" s="3"/>
      <c r="E15" s="3"/>
      <c r="F15" s="3"/>
    </row>
    <row r="16" spans="1:6" ht="14.25" customHeight="1" x14ac:dyDescent="0.25">
      <c r="A16" s="3"/>
      <c r="B16" s="3"/>
      <c r="C16" s="3"/>
      <c r="D16" s="3"/>
      <c r="E16" s="3"/>
      <c r="F16" s="3"/>
    </row>
    <row r="17" spans="1:6" ht="14.25" customHeight="1" x14ac:dyDescent="0.25">
      <c r="A17" s="3"/>
      <c r="B17" s="3"/>
      <c r="C17" s="3"/>
      <c r="D17" s="3"/>
      <c r="E17" s="3"/>
      <c r="F17" s="3"/>
    </row>
    <row r="18" spans="1:6" ht="14.25" customHeight="1" x14ac:dyDescent="0.25">
      <c r="A18" s="3"/>
      <c r="B18" s="3"/>
      <c r="C18" s="3"/>
      <c r="D18" s="3"/>
      <c r="E18" s="3"/>
      <c r="F18" s="3"/>
    </row>
    <row r="19" spans="1:6" ht="14.25" customHeight="1" x14ac:dyDescent="0.25">
      <c r="A19" s="3"/>
      <c r="B19" s="3"/>
      <c r="C19" s="3"/>
      <c r="D19" s="3"/>
      <c r="E19" s="3"/>
      <c r="F19" s="3"/>
    </row>
    <row r="20" spans="1:6" ht="14.25" customHeight="1" x14ac:dyDescent="0.25">
      <c r="A20" s="3"/>
      <c r="B20" s="3"/>
      <c r="C20" s="3"/>
      <c r="D20" s="3"/>
      <c r="E20" s="3"/>
      <c r="F20" s="3"/>
    </row>
    <row r="21" spans="1:6" ht="14.25" customHeight="1" x14ac:dyDescent="0.25">
      <c r="A21" s="3"/>
      <c r="B21" s="3"/>
      <c r="C21" s="3"/>
      <c r="D21" s="3"/>
      <c r="E21" s="3"/>
      <c r="F21" s="3"/>
    </row>
    <row r="22" spans="1:6" ht="14.25" customHeight="1" x14ac:dyDescent="0.25">
      <c r="A22" s="3"/>
      <c r="B22" s="3"/>
      <c r="C22" s="3"/>
      <c r="D22" s="3"/>
      <c r="E22" s="3"/>
      <c r="F22" s="3"/>
    </row>
    <row r="23" spans="1:6" ht="14.25" customHeight="1" x14ac:dyDescent="0.25">
      <c r="A23" s="3"/>
      <c r="B23" s="3"/>
      <c r="C23" s="3"/>
      <c r="D23" s="3"/>
      <c r="E23" s="3"/>
      <c r="F23" s="3"/>
    </row>
    <row r="24" spans="1:6" ht="14.25" customHeight="1" x14ac:dyDescent="0.25">
      <c r="A24" s="3"/>
      <c r="B24" s="3"/>
      <c r="C24" s="3"/>
      <c r="D24" s="3"/>
      <c r="E24" s="3"/>
      <c r="F24" s="3"/>
    </row>
    <row r="25" spans="1:6" ht="14.25" customHeight="1" x14ac:dyDescent="0.25">
      <c r="A25" s="3"/>
      <c r="B25" s="3"/>
      <c r="C25" s="3"/>
      <c r="D25" s="3"/>
      <c r="E25" s="3"/>
      <c r="F25" s="3"/>
    </row>
    <row r="26" spans="1:6" ht="14.25" customHeight="1" x14ac:dyDescent="0.25">
      <c r="A26" s="3"/>
      <c r="B26" s="3"/>
      <c r="C26" s="3"/>
      <c r="D26" s="3"/>
      <c r="E26" s="3"/>
      <c r="F26" s="3"/>
    </row>
    <row r="27" spans="1:6" ht="14.25" customHeight="1" x14ac:dyDescent="0.25">
      <c r="A27" s="3"/>
      <c r="B27" s="3"/>
      <c r="C27" s="3"/>
      <c r="D27" s="3"/>
      <c r="E27" s="3"/>
      <c r="F27" s="3"/>
    </row>
    <row r="28" spans="1:6" ht="14.25" customHeight="1" x14ac:dyDescent="0.25">
      <c r="A28" s="3"/>
      <c r="B28" s="3"/>
      <c r="C28" s="3"/>
      <c r="D28" s="3"/>
      <c r="E28" s="3"/>
      <c r="F28" s="3"/>
    </row>
    <row r="29" spans="1:6" ht="14.25" customHeight="1" x14ac:dyDescent="0.25">
      <c r="A29" s="3"/>
      <c r="B29" s="3"/>
      <c r="C29" s="3"/>
      <c r="D29" s="3"/>
      <c r="E29" s="3"/>
      <c r="F29" s="3"/>
    </row>
    <row r="30" spans="1:6" ht="14.25" customHeight="1" x14ac:dyDescent="0.25">
      <c r="A30" s="3"/>
      <c r="B30" s="3"/>
      <c r="C30" s="3"/>
      <c r="D30" s="3"/>
      <c r="E30" s="3"/>
      <c r="F30" s="3"/>
    </row>
    <row r="31" spans="1:6" ht="14.25" customHeight="1" x14ac:dyDescent="0.25">
      <c r="A31" s="3"/>
      <c r="B31" s="3"/>
      <c r="C31" s="3"/>
      <c r="D31" s="3"/>
      <c r="E31" s="3"/>
      <c r="F31" s="3"/>
    </row>
    <row r="32" spans="1:6" ht="14.25" customHeight="1" x14ac:dyDescent="0.25">
      <c r="A32" s="3"/>
      <c r="B32" s="3"/>
      <c r="C32" s="3"/>
      <c r="D32" s="3"/>
      <c r="E32" s="3"/>
      <c r="F32" s="3"/>
    </row>
    <row r="33" spans="1:6" ht="14.25" customHeight="1" x14ac:dyDescent="0.25">
      <c r="A33" s="3"/>
      <c r="B33" s="3"/>
      <c r="C33" s="3"/>
      <c r="D33" s="3"/>
      <c r="E33" s="3"/>
      <c r="F33" s="3"/>
    </row>
    <row r="34" spans="1:6" ht="14.25" customHeight="1" x14ac:dyDescent="0.25">
      <c r="A34" s="3"/>
      <c r="B34" s="3"/>
      <c r="C34" s="3"/>
      <c r="D34" s="3"/>
      <c r="E34" s="3"/>
      <c r="F34" s="3"/>
    </row>
    <row r="35" spans="1:6" ht="14.25" customHeight="1" x14ac:dyDescent="0.25">
      <c r="A35" s="3"/>
      <c r="B35" s="3"/>
      <c r="C35" s="3"/>
      <c r="D35" s="3"/>
      <c r="E35" s="3"/>
      <c r="F35" s="3"/>
    </row>
    <row r="36" spans="1:6" ht="14.25" customHeight="1" x14ac:dyDescent="0.25">
      <c r="A36" s="3"/>
      <c r="B36" s="3"/>
      <c r="C36" s="3"/>
      <c r="D36" s="3"/>
      <c r="E36" s="3"/>
      <c r="F36" s="3"/>
    </row>
    <row r="37" spans="1:6" ht="14.25" customHeight="1" x14ac:dyDescent="0.25">
      <c r="A37" s="3"/>
      <c r="B37" s="3"/>
      <c r="C37" s="3"/>
      <c r="D37" s="3"/>
      <c r="E37" s="3"/>
      <c r="F37" s="3"/>
    </row>
    <row r="38" spans="1:6" ht="14.25" customHeight="1" x14ac:dyDescent="0.25">
      <c r="A38" s="3"/>
      <c r="B38" s="3"/>
      <c r="C38" s="3"/>
      <c r="D38" s="3"/>
      <c r="E38" s="3"/>
      <c r="F38" s="3"/>
    </row>
    <row r="39" spans="1:6" ht="14.25" customHeight="1" x14ac:dyDescent="0.25">
      <c r="A39" s="3"/>
      <c r="B39" s="3"/>
      <c r="C39" s="3"/>
      <c r="D39" s="3"/>
      <c r="E39" s="3"/>
      <c r="F39" s="3"/>
    </row>
    <row r="40" spans="1:6" ht="14.25" customHeight="1" x14ac:dyDescent="0.25">
      <c r="A40" s="3"/>
      <c r="B40" s="3"/>
      <c r="C40" s="3"/>
      <c r="D40" s="3"/>
      <c r="E40" s="3"/>
      <c r="F40" s="3"/>
    </row>
    <row r="41" spans="1:6" ht="14.25" customHeight="1" x14ac:dyDescent="0.25">
      <c r="A41" s="3"/>
      <c r="B41" s="3"/>
      <c r="C41" s="3"/>
      <c r="D41" s="3"/>
      <c r="E41" s="3"/>
      <c r="F41" s="3"/>
    </row>
    <row r="42" spans="1:6" ht="14.25" customHeight="1" x14ac:dyDescent="0.25">
      <c r="A42" s="3"/>
      <c r="B42" s="3"/>
      <c r="C42" s="3"/>
      <c r="D42" s="3"/>
      <c r="E42" s="3"/>
      <c r="F42" s="3"/>
    </row>
    <row r="43" spans="1:6" ht="14.25" customHeight="1" x14ac:dyDescent="0.25">
      <c r="A43" s="3"/>
      <c r="B43" s="3"/>
      <c r="C43" s="3"/>
      <c r="D43" s="3"/>
      <c r="E43" s="3"/>
      <c r="F43" s="3"/>
    </row>
    <row r="44" spans="1:6" ht="14.25" customHeight="1" x14ac:dyDescent="0.25">
      <c r="A44" s="3"/>
      <c r="B44" s="3"/>
      <c r="C44" s="3"/>
      <c r="D44" s="3"/>
      <c r="E44" s="3"/>
      <c r="F44" s="3"/>
    </row>
    <row r="45" spans="1:6" ht="14.25" customHeight="1" x14ac:dyDescent="0.25">
      <c r="A45" s="3"/>
      <c r="B45" s="3"/>
      <c r="C45" s="3"/>
      <c r="D45" s="3"/>
      <c r="E45" s="3"/>
      <c r="F45" s="3"/>
    </row>
    <row r="46" spans="1:6" ht="14.25" customHeight="1" x14ac:dyDescent="0.25">
      <c r="A46" s="3"/>
      <c r="B46" s="3"/>
      <c r="C46" s="3"/>
      <c r="D46" s="3"/>
      <c r="E46" s="3"/>
      <c r="F46" s="3"/>
    </row>
    <row r="47" spans="1:6" ht="14.25" customHeight="1" x14ac:dyDescent="0.25">
      <c r="A47" s="3"/>
      <c r="B47" s="3"/>
      <c r="C47" s="3"/>
      <c r="D47" s="3"/>
      <c r="E47" s="3"/>
      <c r="F47" s="3"/>
    </row>
    <row r="48" spans="1:6" ht="14.25" customHeight="1" x14ac:dyDescent="0.25">
      <c r="A48" s="3"/>
      <c r="B48" s="3"/>
      <c r="C48" s="3"/>
      <c r="D48" s="3"/>
      <c r="E48" s="3"/>
      <c r="F48" s="3"/>
    </row>
    <row r="49" spans="1:6" ht="14.25" customHeight="1" x14ac:dyDescent="0.25">
      <c r="A49" s="3"/>
      <c r="B49" s="3"/>
      <c r="C49" s="3"/>
      <c r="D49" s="3"/>
      <c r="E49" s="3"/>
      <c r="F49" s="3"/>
    </row>
    <row r="50" spans="1:6" ht="14.25" customHeight="1" x14ac:dyDescent="0.25">
      <c r="A50" s="3"/>
      <c r="B50" s="3"/>
      <c r="C50" s="3"/>
      <c r="D50" s="3"/>
      <c r="E50" s="3"/>
      <c r="F50" s="3"/>
    </row>
    <row r="51" spans="1:6" ht="14.25" customHeight="1" x14ac:dyDescent="0.25">
      <c r="A51" s="3"/>
      <c r="B51" s="3"/>
      <c r="C51" s="3"/>
      <c r="D51" s="3"/>
      <c r="E51" s="3"/>
      <c r="F51" s="3"/>
    </row>
    <row r="52" spans="1:6" ht="14.25" customHeight="1" x14ac:dyDescent="0.25">
      <c r="A52" s="3"/>
      <c r="B52" s="3"/>
      <c r="C52" s="3"/>
      <c r="D52" s="3"/>
      <c r="E52" s="3"/>
      <c r="F52" s="3"/>
    </row>
    <row r="53" spans="1:6" ht="14.25" customHeight="1" x14ac:dyDescent="0.25">
      <c r="A53" s="3"/>
      <c r="B53" s="3"/>
      <c r="C53" s="3"/>
      <c r="D53" s="3"/>
      <c r="E53" s="3"/>
      <c r="F53" s="3"/>
    </row>
    <row r="54" spans="1:6" ht="14.25" customHeight="1" x14ac:dyDescent="0.25">
      <c r="A54" s="3"/>
      <c r="B54" s="3"/>
      <c r="C54" s="3"/>
      <c r="D54" s="3"/>
      <c r="E54" s="3"/>
      <c r="F54" s="3"/>
    </row>
    <row r="55" spans="1:6" ht="14.25" customHeight="1" x14ac:dyDescent="0.25">
      <c r="A55" s="3"/>
      <c r="B55" s="3"/>
      <c r="C55" s="3"/>
      <c r="D55" s="3"/>
      <c r="E55" s="3"/>
      <c r="F55" s="3"/>
    </row>
    <row r="56" spans="1:6" ht="14.25" customHeight="1" x14ac:dyDescent="0.25">
      <c r="A56" s="3"/>
      <c r="B56" s="3"/>
      <c r="C56" s="3"/>
      <c r="D56" s="3"/>
      <c r="E56" s="3"/>
      <c r="F56" s="3"/>
    </row>
    <row r="57" spans="1:6" ht="14.25" customHeight="1" x14ac:dyDescent="0.25">
      <c r="A57" s="3"/>
      <c r="B57" s="3"/>
      <c r="C57" s="3"/>
      <c r="D57" s="3"/>
      <c r="E57" s="3"/>
      <c r="F57" s="3"/>
    </row>
    <row r="58" spans="1:6" ht="14.25" customHeight="1" x14ac:dyDescent="0.25">
      <c r="A58" s="3"/>
      <c r="B58" s="3"/>
      <c r="C58" s="3"/>
      <c r="D58" s="3"/>
      <c r="E58" s="3"/>
      <c r="F58" s="3"/>
    </row>
    <row r="59" spans="1:6" ht="14.25" customHeight="1" x14ac:dyDescent="0.25">
      <c r="A59" s="3"/>
      <c r="B59" s="3"/>
      <c r="C59" s="3"/>
      <c r="D59" s="3"/>
      <c r="E59" s="3"/>
      <c r="F59" s="3"/>
    </row>
    <row r="60" spans="1:6" ht="14.25" customHeight="1" x14ac:dyDescent="0.25">
      <c r="A60" s="3"/>
      <c r="B60" s="3"/>
      <c r="C60" s="3"/>
      <c r="D60" s="3"/>
      <c r="E60" s="3"/>
      <c r="F60" s="3"/>
    </row>
    <row r="61" spans="1:6" ht="14.25" customHeight="1" x14ac:dyDescent="0.25">
      <c r="A61" s="3"/>
      <c r="B61" s="3"/>
      <c r="C61" s="3"/>
      <c r="D61" s="3"/>
      <c r="E61" s="3"/>
      <c r="F61" s="3"/>
    </row>
    <row r="62" spans="1:6" ht="14.25" customHeight="1" x14ac:dyDescent="0.25">
      <c r="A62" s="3"/>
      <c r="B62" s="3"/>
      <c r="C62" s="3"/>
      <c r="D62" s="3"/>
      <c r="E62" s="3"/>
      <c r="F62" s="3"/>
    </row>
    <row r="63" spans="1:6" ht="14.25" customHeight="1" x14ac:dyDescent="0.25">
      <c r="A63" s="3"/>
      <c r="B63" s="3"/>
      <c r="C63" s="3"/>
      <c r="D63" s="3"/>
      <c r="E63" s="3"/>
      <c r="F63" s="3"/>
    </row>
    <row r="64" spans="1:6" ht="14.25" customHeight="1" x14ac:dyDescent="0.25">
      <c r="A64" s="3"/>
      <c r="B64" s="3"/>
      <c r="C64" s="3"/>
      <c r="D64" s="3"/>
      <c r="E64" s="3"/>
      <c r="F64" s="3"/>
    </row>
    <row r="65" spans="1:6" ht="14.25" customHeight="1" x14ac:dyDescent="0.25">
      <c r="A65" s="3"/>
      <c r="B65" s="3"/>
      <c r="C65" s="3"/>
      <c r="D65" s="3"/>
      <c r="E65" s="3"/>
      <c r="F65" s="3"/>
    </row>
    <row r="66" spans="1:6" ht="14.25" customHeight="1" x14ac:dyDescent="0.25">
      <c r="A66" s="3"/>
      <c r="B66" s="3"/>
      <c r="C66" s="3"/>
      <c r="D66" s="3"/>
      <c r="E66" s="3"/>
      <c r="F66" s="3"/>
    </row>
    <row r="67" spans="1:6" ht="14.25" customHeight="1" x14ac:dyDescent="0.25">
      <c r="A67" s="3"/>
      <c r="B67" s="3"/>
      <c r="C67" s="3"/>
      <c r="D67" s="3"/>
      <c r="E67" s="3"/>
      <c r="F67" s="3"/>
    </row>
    <row r="68" spans="1:6" ht="14.25" customHeight="1" x14ac:dyDescent="0.25">
      <c r="A68" s="3"/>
      <c r="B68" s="3"/>
      <c r="C68" s="3"/>
      <c r="D68" s="3"/>
      <c r="E68" s="3"/>
      <c r="F68" s="3"/>
    </row>
    <row r="69" spans="1:6" ht="14.25" customHeight="1" x14ac:dyDescent="0.25">
      <c r="A69" s="3"/>
      <c r="B69" s="3"/>
      <c r="C69" s="3"/>
      <c r="D69" s="3"/>
      <c r="E69" s="3"/>
      <c r="F69" s="3"/>
    </row>
    <row r="70" spans="1:6" ht="14.25" customHeight="1" x14ac:dyDescent="0.25">
      <c r="A70" s="3"/>
      <c r="B70" s="3"/>
      <c r="C70" s="3"/>
      <c r="D70" s="3"/>
      <c r="E70" s="3"/>
      <c r="F70" s="3"/>
    </row>
    <row r="71" spans="1:6" ht="14.25" customHeight="1" x14ac:dyDescent="0.25">
      <c r="A71" s="3"/>
      <c r="B71" s="3"/>
      <c r="C71" s="3"/>
      <c r="D71" s="3"/>
      <c r="E71" s="3"/>
      <c r="F71" s="3"/>
    </row>
    <row r="72" spans="1:6" ht="14.25" customHeight="1" x14ac:dyDescent="0.25">
      <c r="A72" s="3"/>
      <c r="B72" s="3"/>
      <c r="C72" s="3"/>
      <c r="D72" s="3"/>
      <c r="E72" s="3"/>
      <c r="F72" s="3"/>
    </row>
    <row r="73" spans="1:6" ht="14.25" customHeight="1" x14ac:dyDescent="0.25">
      <c r="A73" s="3"/>
      <c r="B73" s="3"/>
      <c r="C73" s="3"/>
      <c r="D73" s="3"/>
      <c r="E73" s="3"/>
      <c r="F73" s="3"/>
    </row>
    <row r="74" spans="1:6" ht="14.25" customHeight="1" x14ac:dyDescent="0.25">
      <c r="A74" s="3"/>
      <c r="B74" s="3"/>
      <c r="C74" s="3"/>
      <c r="D74" s="3"/>
      <c r="E74" s="3"/>
      <c r="F74" s="3"/>
    </row>
    <row r="75" spans="1:6" ht="14.25" customHeight="1" x14ac:dyDescent="0.25">
      <c r="A75" s="3"/>
      <c r="B75" s="3"/>
      <c r="C75" s="3"/>
      <c r="D75" s="3"/>
      <c r="E75" s="3"/>
      <c r="F75" s="3"/>
    </row>
    <row r="76" spans="1:6" ht="14.25" customHeight="1" x14ac:dyDescent="0.25">
      <c r="A76" s="3"/>
      <c r="B76" s="3"/>
      <c r="C76" s="3"/>
      <c r="D76" s="3"/>
      <c r="E76" s="3"/>
      <c r="F76" s="3"/>
    </row>
    <row r="77" spans="1:6" ht="14.25" customHeight="1" x14ac:dyDescent="0.25">
      <c r="A77" s="3"/>
      <c r="B77" s="3"/>
      <c r="C77" s="3"/>
      <c r="D77" s="3"/>
      <c r="E77" s="3"/>
      <c r="F77" s="3"/>
    </row>
    <row r="78" spans="1:6" ht="14.25" customHeight="1" x14ac:dyDescent="0.25">
      <c r="A78" s="3"/>
      <c r="B78" s="3"/>
      <c r="C78" s="3"/>
      <c r="D78" s="3"/>
      <c r="E78" s="3"/>
      <c r="F78" s="3"/>
    </row>
    <row r="79" spans="1:6" ht="14.25" customHeight="1" x14ac:dyDescent="0.25">
      <c r="A79" s="3"/>
      <c r="B79" s="3"/>
      <c r="C79" s="3"/>
      <c r="D79" s="3"/>
      <c r="E79" s="3"/>
      <c r="F79" s="3"/>
    </row>
    <row r="80" spans="1:6" ht="14.25" customHeight="1" x14ac:dyDescent="0.25">
      <c r="A80" s="3"/>
      <c r="B80" s="3"/>
      <c r="C80" s="3"/>
      <c r="D80" s="3"/>
      <c r="E80" s="3"/>
      <c r="F80" s="3"/>
    </row>
    <row r="81" spans="1:6" ht="14.25" customHeight="1" x14ac:dyDescent="0.25">
      <c r="A81" s="3"/>
      <c r="B81" s="3"/>
      <c r="C81" s="3"/>
      <c r="D81" s="3"/>
      <c r="E81" s="3"/>
      <c r="F81" s="3"/>
    </row>
    <row r="82" spans="1:6" ht="14.25" customHeight="1" x14ac:dyDescent="0.25">
      <c r="A82" s="3"/>
      <c r="B82" s="3"/>
      <c r="C82" s="3"/>
      <c r="D82" s="3"/>
      <c r="E82" s="3"/>
      <c r="F82" s="3"/>
    </row>
    <row r="83" spans="1:6" ht="14.25" customHeight="1" x14ac:dyDescent="0.25">
      <c r="A83" s="3"/>
      <c r="B83" s="3"/>
      <c r="C83" s="3"/>
      <c r="D83" s="3"/>
      <c r="E83" s="3"/>
      <c r="F83" s="3"/>
    </row>
    <row r="84" spans="1:6" ht="14.25" customHeight="1" x14ac:dyDescent="0.25">
      <c r="A84" s="3"/>
      <c r="B84" s="3"/>
      <c r="C84" s="3"/>
      <c r="D84" s="3"/>
      <c r="E84" s="3"/>
      <c r="F84" s="3"/>
    </row>
    <row r="85" spans="1:6" ht="14.25" customHeight="1" x14ac:dyDescent="0.25">
      <c r="A85" s="3"/>
      <c r="B85" s="3"/>
      <c r="C85" s="3"/>
      <c r="D85" s="3"/>
      <c r="E85" s="3"/>
      <c r="F85" s="3"/>
    </row>
    <row r="86" spans="1:6" ht="14.25" customHeight="1" x14ac:dyDescent="0.25">
      <c r="A86" s="3"/>
      <c r="B86" s="3"/>
      <c r="C86" s="3"/>
      <c r="D86" s="3"/>
      <c r="E86" s="3"/>
      <c r="F86" s="3"/>
    </row>
    <row r="87" spans="1:6" ht="14.25" customHeight="1" x14ac:dyDescent="0.25">
      <c r="A87" s="3"/>
      <c r="B87" s="3"/>
      <c r="C87" s="3"/>
      <c r="D87" s="3"/>
      <c r="E87" s="3"/>
      <c r="F87" s="3"/>
    </row>
    <row r="88" spans="1:6" ht="14.25" customHeight="1" x14ac:dyDescent="0.25">
      <c r="A88" s="3"/>
      <c r="B88" s="3"/>
      <c r="C88" s="3"/>
      <c r="D88" s="3"/>
      <c r="E88" s="3"/>
      <c r="F88" s="3"/>
    </row>
    <row r="89" spans="1:6" ht="14.25" customHeight="1" x14ac:dyDescent="0.25">
      <c r="A89" s="3"/>
      <c r="B89" s="3"/>
      <c r="C89" s="3"/>
      <c r="D89" s="3"/>
      <c r="E89" s="3"/>
      <c r="F89" s="3"/>
    </row>
    <row r="90" spans="1:6" ht="14.25" customHeight="1" x14ac:dyDescent="0.25">
      <c r="A90" s="3"/>
      <c r="B90" s="3"/>
      <c r="C90" s="3"/>
      <c r="D90" s="3"/>
      <c r="E90" s="3"/>
      <c r="F90" s="3"/>
    </row>
    <row r="91" spans="1:6" ht="14.25" customHeight="1" x14ac:dyDescent="0.25">
      <c r="A91" s="3"/>
      <c r="B91" s="3"/>
      <c r="C91" s="3"/>
      <c r="D91" s="3"/>
      <c r="E91" s="3"/>
      <c r="F91" s="3"/>
    </row>
    <row r="92" spans="1:6" ht="14.25" customHeight="1" x14ac:dyDescent="0.25">
      <c r="A92" s="3"/>
      <c r="B92" s="3"/>
      <c r="C92" s="3"/>
      <c r="D92" s="3"/>
      <c r="E92" s="3"/>
      <c r="F92" s="3"/>
    </row>
    <row r="93" spans="1:6" ht="14.25" customHeight="1" x14ac:dyDescent="0.25">
      <c r="A93" s="3"/>
      <c r="B93" s="3"/>
      <c r="C93" s="3"/>
      <c r="D93" s="3"/>
      <c r="E93" s="3"/>
      <c r="F93" s="3"/>
    </row>
    <row r="94" spans="1:6" ht="14.25" customHeight="1" x14ac:dyDescent="0.25">
      <c r="A94" s="3"/>
      <c r="B94" s="3"/>
      <c r="C94" s="3"/>
      <c r="D94" s="3"/>
      <c r="E94" s="3"/>
      <c r="F94" s="3"/>
    </row>
    <row r="95" spans="1:6" ht="14.25" customHeight="1" x14ac:dyDescent="0.25">
      <c r="A95" s="3"/>
      <c r="B95" s="3"/>
      <c r="C95" s="3"/>
      <c r="D95" s="3"/>
      <c r="E95" s="3"/>
      <c r="F95" s="3"/>
    </row>
    <row r="96" spans="1:6" ht="14.25" customHeight="1" x14ac:dyDescent="0.25">
      <c r="A96" s="3"/>
      <c r="B96" s="3"/>
      <c r="C96" s="3"/>
      <c r="D96" s="3"/>
      <c r="E96" s="3"/>
      <c r="F96" s="3"/>
    </row>
    <row r="97" spans="1:6" ht="14.25" customHeight="1" x14ac:dyDescent="0.25">
      <c r="A97" s="3"/>
      <c r="B97" s="3"/>
      <c r="C97" s="3"/>
      <c r="D97" s="3"/>
      <c r="E97" s="3"/>
      <c r="F97" s="3"/>
    </row>
    <row r="98" spans="1:6" ht="14.25" customHeight="1" x14ac:dyDescent="0.25">
      <c r="A98" s="3"/>
      <c r="B98" s="3"/>
      <c r="C98" s="3"/>
      <c r="D98" s="3"/>
      <c r="E98" s="3"/>
      <c r="F98" s="3"/>
    </row>
    <row r="99" spans="1:6" ht="14.25" customHeight="1" x14ac:dyDescent="0.25">
      <c r="A99" s="3"/>
      <c r="B99" s="3"/>
      <c r="C99" s="3"/>
      <c r="D99" s="3"/>
      <c r="E99" s="3"/>
      <c r="F99" s="3"/>
    </row>
    <row r="100" spans="1:6" ht="14.25" customHeight="1" x14ac:dyDescent="0.25">
      <c r="A100" s="3"/>
      <c r="B100" s="3"/>
      <c r="C100" s="3"/>
      <c r="D100" s="3"/>
      <c r="E100" s="3"/>
      <c r="F100" s="3"/>
    </row>
  </sheetData>
  <pageMargins left="0.51180555555555596" right="0.51180555555555596" top="0.78749999999999998" bottom="0.78749999999999998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47</vt:i4>
      </vt:variant>
    </vt:vector>
  </HeadingPairs>
  <TitlesOfParts>
    <vt:vector size="47" baseType="lpstr">
      <vt:lpstr>📊 Painel Anual</vt:lpstr>
      <vt:lpstr>📈 Investimentos</vt:lpstr>
      <vt:lpstr>jun-26</vt:lpstr>
      <vt:lpstr>Jul-26</vt:lpstr>
      <vt:lpstr>ago-26</vt:lpstr>
      <vt:lpstr>set-26</vt:lpstr>
      <vt:lpstr>Out-26</vt:lpstr>
      <vt:lpstr>Nov-26</vt:lpstr>
      <vt:lpstr>dez -26</vt:lpstr>
      <vt:lpstr>Jan-27</vt:lpstr>
      <vt:lpstr>Fev-27</vt:lpstr>
      <vt:lpstr>Mar-27</vt:lpstr>
      <vt:lpstr>Abr-27</vt:lpstr>
      <vt:lpstr>Mai-27</vt:lpstr>
      <vt:lpstr>Jun-27</vt:lpstr>
      <vt:lpstr>Jul-27</vt:lpstr>
      <vt:lpstr>Ago-27</vt:lpstr>
      <vt:lpstr>Set-27</vt:lpstr>
      <vt:lpstr>Out-27</vt:lpstr>
      <vt:lpstr>Nov-27</vt:lpstr>
      <vt:lpstr>Dez-27</vt:lpstr>
      <vt:lpstr>Jan-28</vt:lpstr>
      <vt:lpstr>Fev-28</vt:lpstr>
      <vt:lpstr>Mar-28</vt:lpstr>
      <vt:lpstr>Abr-28</vt:lpstr>
      <vt:lpstr>Mai-28</vt:lpstr>
      <vt:lpstr>Jun-28</vt:lpstr>
      <vt:lpstr>Jul-28</vt:lpstr>
      <vt:lpstr>Ago-28</vt:lpstr>
      <vt:lpstr>Set-28</vt:lpstr>
      <vt:lpstr>Out-28</vt:lpstr>
      <vt:lpstr>Nov-28</vt:lpstr>
      <vt:lpstr>Dez-28</vt:lpstr>
      <vt:lpstr>Jan-29</vt:lpstr>
      <vt:lpstr>Fev-29</vt:lpstr>
      <vt:lpstr>Mar-29</vt:lpstr>
      <vt:lpstr>Abr-29</vt:lpstr>
      <vt:lpstr>Mai-29</vt:lpstr>
      <vt:lpstr>Jun-29</vt:lpstr>
      <vt:lpstr>Jul-29</vt:lpstr>
      <vt:lpstr>Ago-29</vt:lpstr>
      <vt:lpstr>Set-29</vt:lpstr>
      <vt:lpstr>💳 Empréstimo</vt:lpstr>
      <vt:lpstr>📊 Cruzamento J x R</vt:lpstr>
      <vt:lpstr>✂️ Redução Custos</vt:lpstr>
      <vt:lpstr>💡 Análise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Estoque</cp:lastModifiedBy>
  <cp:revision>0</cp:revision>
  <dcterms:created xsi:type="dcterms:W3CDTF">2026-05-21T11:30:44Z</dcterms:created>
  <dcterms:modified xsi:type="dcterms:W3CDTF">2026-09-22T20:56:39Z</dcterms:modified>
  <dc:language>en-US</dc:language>
</cp:coreProperties>
</file>